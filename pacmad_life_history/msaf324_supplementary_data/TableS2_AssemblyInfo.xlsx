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pacmad_life_history/msaf324_supplementary_data/"/>
    </mc:Choice>
  </mc:AlternateContent>
  <xr:revisionPtr revIDLastSave="1" documentId="13_ncr:1_{2DA337E8-ED07-2A48-8CD5-0A26DD481EE7}" xr6:coauthVersionLast="47" xr6:coauthVersionMax="47" xr10:uidLastSave="{EEB8459C-2DCD-934B-ABC2-FA705557F224}"/>
  <bookViews>
    <workbookView xWindow="0" yWindow="660" windowWidth="30240" windowHeight="17760" xr2:uid="{00000000-000D-0000-FFFF-FFFF00000000}"/>
  </bookViews>
  <sheets>
    <sheet name="AssemblyMetadata" sheetId="3" r:id="rId1"/>
    <sheet name="AssembliesFilteredOut" sheetId="5" r:id="rId2"/>
    <sheet name="External_Assembly_Sources" sheetId="1" r:id="rId3"/>
    <sheet name="SRA_accession_sources" sheetId="2" r:id="rId4"/>
    <sheet name="RepresentativeAssemblie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2" i="1" l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4" i="1"/>
  <c r="J183" i="1"/>
  <c r="J182" i="1"/>
  <c r="J181" i="1"/>
  <c r="J180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6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3" i="1"/>
  <c r="J102" i="1"/>
  <c r="J101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7" i="1"/>
  <c r="J34" i="1"/>
  <c r="J33" i="1"/>
  <c r="J32" i="1"/>
  <c r="J31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<sst xmlns="http://schemas.openxmlformats.org/spreadsheetml/2006/main" count="12352" uniqueCount="3705">
  <si>
    <t>Assembly.Accession</t>
  </si>
  <si>
    <t>Old.Assembly.File</t>
  </si>
  <si>
    <t>New.Assembly.File</t>
  </si>
  <si>
    <t>assemblyID</t>
  </si>
  <si>
    <t>Species</t>
  </si>
  <si>
    <t>genotype_info</t>
  </si>
  <si>
    <t>assembly.version</t>
  </si>
  <si>
    <t>Assembly.Sequencing.Tech</t>
  </si>
  <si>
    <t>Source</t>
  </si>
  <si>
    <t>link</t>
  </si>
  <si>
    <t>paper</t>
  </si>
  <si>
    <t>GCA_021605145.1</t>
  </si>
  <si>
    <t>GCA_021605145.1_ASM2160514v1_genomic.fna</t>
  </si>
  <si>
    <t>ASM2160514v1.fa</t>
  </si>
  <si>
    <t>ASM2160514v1</t>
  </si>
  <si>
    <t>Aegilops bicornis</t>
  </si>
  <si>
    <t>TB01</t>
  </si>
  <si>
    <t>Oxford Nanopore PromethION</t>
  </si>
  <si>
    <t>NCBI</t>
  </si>
  <si>
    <r>
      <rPr>
        <u/>
        <sz val="12"/>
        <color rgb="FF000000"/>
        <rFont val="Calibri"/>
        <family val="2"/>
      </rPr>
      <t>10.1016/j.molp.2021.12.019</t>
    </r>
  </si>
  <si>
    <t>GCA_021605205.1</t>
  </si>
  <si>
    <t>GCA_021605205.1_ASM2160520v1_genomic.fna</t>
  </si>
  <si>
    <t>ASM2160520v1.fa</t>
  </si>
  <si>
    <t>ASM2160520v1</t>
  </si>
  <si>
    <t>Aegilops longissima</t>
  </si>
  <si>
    <t>TL01</t>
  </si>
  <si>
    <r>
      <rPr>
        <u/>
        <sz val="12"/>
        <color rgb="FF000000"/>
        <rFont val="Calibri"/>
        <family val="2"/>
      </rPr>
      <t>10.1016/j.molp.2021.12.019</t>
    </r>
  </si>
  <si>
    <t>GCA_904067125.1</t>
  </si>
  <si>
    <t>GCA_904067125.1_aegilops_longissima_6782_assembly_genomic.fna</t>
  </si>
  <si>
    <t>aegilops_longissima_6782_assembly.fa</t>
  </si>
  <si>
    <t>aegilops_longissima_6782_assembly</t>
  </si>
  <si>
    <t>NA</t>
  </si>
  <si>
    <r>
      <rPr>
        <u/>
        <sz val="12"/>
        <color rgb="FF000000"/>
        <rFont val="Calibri"/>
        <family val="2"/>
      </rPr>
      <t>10.1111/tpj.15664</t>
    </r>
  </si>
  <si>
    <t>GCA_021605185.1</t>
  </si>
  <si>
    <t>GCA_021605185.1_ASM2160518v1_genomic.fna</t>
  </si>
  <si>
    <t>ASM2160518v1.fa</t>
  </si>
  <si>
    <t>ASM2160518v1</t>
  </si>
  <si>
    <t>Aegilops searsii</t>
  </si>
  <si>
    <t>TE01</t>
  </si>
  <si>
    <r>
      <rPr>
        <u/>
        <sz val="12"/>
        <color rgb="FF000000"/>
        <rFont val="Calibri"/>
        <family val="2"/>
      </rPr>
      <t>10.1016/j.molp.2021.12.019</t>
    </r>
  </si>
  <si>
    <t>GCA_904067115.1</t>
  </si>
  <si>
    <t>GCA_904067115.1_aegilops_sharonensis_1644_assembly_genomic.fna</t>
  </si>
  <si>
    <t>aegilops_sharonensis_1644_assembly.fa</t>
  </si>
  <si>
    <t>aegilops_sharonensis_1644_assembly</t>
  </si>
  <si>
    <t>Aegilops sharonensis</t>
  </si>
  <si>
    <r>
      <rPr>
        <u/>
        <sz val="12"/>
        <color rgb="FF000000"/>
        <rFont val="Calibri"/>
        <family val="2"/>
      </rPr>
      <t>10.1111/tpj.15664</t>
    </r>
  </si>
  <si>
    <t>GCA_021641835.1</t>
  </si>
  <si>
    <t>GCA_021641835.1_ASM2164183v1_genomic.fna</t>
  </si>
  <si>
    <t>ASM2164183v1.fa</t>
  </si>
  <si>
    <t>ASM2164183v1</t>
  </si>
  <si>
    <t>TH01</t>
  </si>
  <si>
    <r>
      <rPr>
        <u/>
        <sz val="12"/>
        <color rgb="FF000000"/>
        <rFont val="Calibri"/>
        <family val="2"/>
      </rPr>
      <t>10.1016/j.molp.2021.12.019</t>
    </r>
  </si>
  <si>
    <t>GCA_021437245.1</t>
  </si>
  <si>
    <t>GCA_021437245.1_ASM2143724v1_genomic.fna</t>
  </si>
  <si>
    <t>ASM2143724v1.fa</t>
  </si>
  <si>
    <t>ASM2143724v1</t>
  </si>
  <si>
    <t>Aegilops speltoides</t>
  </si>
  <si>
    <t>TS01</t>
  </si>
  <si>
    <r>
      <rPr>
        <u/>
        <sz val="12"/>
        <color rgb="FF000000"/>
        <rFont val="Calibri"/>
        <family val="2"/>
      </rPr>
      <t>10.1016/j.molp.2021.12.019</t>
    </r>
  </si>
  <si>
    <t>GCA_944222845.1</t>
  </si>
  <si>
    <t>GCA_944222845.1_aegilops_speltoides_cv_tivon_genomic.fna</t>
  </si>
  <si>
    <t>aegilops_speltoides_cv_tivon.fa</t>
  </si>
  <si>
    <t>aegilops_speltoides_cv_tivon</t>
  </si>
  <si>
    <t>speltoides</t>
  </si>
  <si>
    <r>
      <rPr>
        <u/>
        <sz val="12"/>
        <color rgb="FF000000"/>
        <rFont val="Calibri"/>
        <family val="2"/>
      </rPr>
      <t>10.1111/tpj.15664</t>
    </r>
  </si>
  <si>
    <t>GCA_002575655.2</t>
  </si>
  <si>
    <t>GCA_002575655.2_Aet_v5.0_genomic.fna</t>
  </si>
  <si>
    <t>Aet_v5.0.fa</t>
  </si>
  <si>
    <t>Aet_v5.0</t>
  </si>
  <si>
    <t>Aegilops tauschii</t>
  </si>
  <si>
    <t>strangulata_AL8/78</t>
  </si>
  <si>
    <t>PacBio</t>
  </si>
  <si>
    <r>
      <rPr>
        <u/>
        <sz val="12"/>
        <color rgb="FF000000"/>
        <rFont val="Calibri"/>
        <family val="2"/>
      </rPr>
      <t>10.1093/g3journal/jkab325</t>
    </r>
  </si>
  <si>
    <t>GCA_032464435.1</t>
  </si>
  <si>
    <t>GCA_032464435.1_ASM3246443v1_genomic.fna</t>
  </si>
  <si>
    <t>ASM3246443v1.fa</t>
  </si>
  <si>
    <t>ASM3246443v1</t>
  </si>
  <si>
    <t>Aegilops umbellulata</t>
  </si>
  <si>
    <t>TA1851</t>
  </si>
  <si>
    <t>PacBio Sequel</t>
  </si>
  <si>
    <r>
      <rPr>
        <u/>
        <sz val="12"/>
        <color rgb="FF000000"/>
        <rFont val="Calibri"/>
        <family val="2"/>
      </rPr>
      <t>10.1038/s41597-023-02658-2</t>
    </r>
  </si>
  <si>
    <t>GCA_004135705.1</t>
  </si>
  <si>
    <t>GCA_004135705.1_ASEM_AUS1_V1.0_genomic.fna</t>
  </si>
  <si>
    <t>ASEM_AUS1_V1.0.fa</t>
  </si>
  <si>
    <t>ASEM_AUS1_V1.0</t>
  </si>
  <si>
    <t>Alloteropsis semialata</t>
  </si>
  <si>
    <t>AUS1-1</t>
  </si>
  <si>
    <t>Illumina HiSeq; PacBio</t>
  </si>
  <si>
    <r>
      <rPr>
        <u/>
        <sz val="12"/>
        <color rgb="FF000000"/>
        <rFont val="Calibri"/>
        <family val="2"/>
      </rPr>
      <t>10.1111/nph.19272</t>
    </r>
  </si>
  <si>
    <t>GCA_036785585.1</t>
  </si>
  <si>
    <t>GCA_036785585.1_TAN1-04B_genomic.fna</t>
  </si>
  <si>
    <t>TAN1-04B.fa</t>
  </si>
  <si>
    <t>TAN1-04B</t>
  </si>
  <si>
    <t>TAN1-04</t>
  </si>
  <si>
    <r>
      <rPr>
        <u/>
        <sz val="12"/>
        <color rgb="FF000000"/>
        <rFont val="Calibri"/>
        <family val="2"/>
      </rPr>
      <t>10.1111/nph.19272</t>
    </r>
  </si>
  <si>
    <t>GCA_036972165.1</t>
  </si>
  <si>
    <t>GCA_036972165.1_RSA5-3_genomic.fna</t>
  </si>
  <si>
    <t>RSA5-3.fa</t>
  </si>
  <si>
    <t>RSA5-3</t>
  </si>
  <si>
    <t>RSA5-03</t>
  </si>
  <si>
    <r>
      <rPr>
        <u/>
        <sz val="12"/>
        <color rgb="FF000000"/>
        <rFont val="Calibri"/>
        <family val="2"/>
      </rPr>
      <t>10.1111/nph.19272</t>
    </r>
  </si>
  <si>
    <t>GCA_036785565.1</t>
  </si>
  <si>
    <t>GCA_036785565.1_ZAM1505-10_genomic.fna</t>
  </si>
  <si>
    <t>ZAM1505-10.fa</t>
  </si>
  <si>
    <t>ZAM1505-10</t>
  </si>
  <si>
    <r>
      <rPr>
        <u/>
        <sz val="12"/>
        <color rgb="FF000000"/>
        <rFont val="Calibri"/>
        <family val="2"/>
      </rPr>
      <t>10.1111/nph.19272</t>
    </r>
  </si>
  <si>
    <t>GCA_028641055.1</t>
  </si>
  <si>
    <t>GCA_028641055.1_Alomy_genome_v1_genomic.fna</t>
  </si>
  <si>
    <t>Alomy_genome_v1.fa</t>
  </si>
  <si>
    <t>Alomy_genome_v1</t>
  </si>
  <si>
    <t>Alopecurus myosuroides</t>
  </si>
  <si>
    <t>Rothamsted</t>
  </si>
  <si>
    <r>
      <rPr>
        <u/>
        <sz val="12"/>
        <color rgb="FF000000"/>
        <rFont val="Calibri"/>
        <family val="2"/>
      </rPr>
      <t>10.1111/nph.18655</t>
    </r>
  </si>
  <si>
    <t>GCA_949204735.1</t>
  </si>
  <si>
    <t>GCA_949204735.1_DE01087.PacbioCLRassembly_genomic.fna</t>
  </si>
  <si>
    <t>DE01087.PacbioCLRassembly.fa</t>
  </si>
  <si>
    <t>DE01087.PacbioCLRassembly</t>
  </si>
  <si>
    <t>PacBio Sequel I</t>
  </si>
  <si>
    <r>
      <rPr>
        <u/>
        <sz val="12"/>
        <color rgb="FF000000"/>
        <rFont val="Calibri"/>
        <family val="2"/>
      </rPr>
      <t>10.1073/pnas.2206808120</t>
    </r>
  </si>
  <si>
    <t>GCA_036346255.1</t>
  </si>
  <si>
    <t>GCA_036346255.1_KIB_Aluo_1_genomic.fna</t>
  </si>
  <si>
    <t>KIB_Aluo_1.fa</t>
  </si>
  <si>
    <t>KIB_Aluo_1</t>
  </si>
  <si>
    <t>Ampelocalamus luodianensis</t>
  </si>
  <si>
    <t>GZH07</t>
  </si>
  <si>
    <t>https://doi.org/10.1038/s41588-024-01683-0</t>
  </si>
  <si>
    <t>GCA_910589765.1</t>
  </si>
  <si>
    <t>GCA_910589765.1_Avena_atlantica_CC7277_v1_assembly_genomic.fna</t>
  </si>
  <si>
    <t>Avena_atlantica_CC7277_v1_assembly.fa</t>
  </si>
  <si>
    <t>Avena_atlantica_CC7277_v1_assembly</t>
  </si>
  <si>
    <t>Avena atlantica</t>
  </si>
  <si>
    <t>CC7277</t>
  </si>
  <si>
    <r>
      <rPr>
        <u/>
        <sz val="12"/>
        <color rgb="FF000000"/>
        <rFont val="Calibri"/>
        <family val="2"/>
      </rPr>
      <t>10.1186/s12915-019-0712-y</t>
    </r>
  </si>
  <si>
    <t>GCA_910589775.1</t>
  </si>
  <si>
    <t>GCA_910589775.1_Avena_eriantha_BYU132_v1_assembly_genomic.fna</t>
  </si>
  <si>
    <t>Avena_eriantha_BYU132_v1_assembly.fa</t>
  </si>
  <si>
    <t>Avena_eriantha_BYU132_v1_assembly</t>
  </si>
  <si>
    <t>Avena eriantha</t>
  </si>
  <si>
    <t>BYU132</t>
  </si>
  <si>
    <r>
      <rPr>
        <u/>
        <sz val="12"/>
        <color rgb="FF000000"/>
        <rFont val="Calibri"/>
        <family val="2"/>
      </rPr>
      <t>10.1186/s12915-019-0712-y</t>
    </r>
  </si>
  <si>
    <t>GCA_023614405.1</t>
  </si>
  <si>
    <t>GCA_023614405.1_ASM2361440v1_genomic.fna</t>
  </si>
  <si>
    <t>ASM2361440v1.fa</t>
  </si>
  <si>
    <t>ASM2361440v1</t>
  </si>
  <si>
    <t>Avena insularis</t>
  </si>
  <si>
    <t>CN 108634</t>
  </si>
  <si>
    <t>PromethION</t>
  </si>
  <si>
    <t>https://doi.org/10.1038/s41588-022-01127-7</t>
  </si>
  <si>
    <t>GCA_910574615.1</t>
  </si>
  <si>
    <t>GCA_910574615.1_Avena_insularis_BYU209_v1_assembly_genomic.fna</t>
  </si>
  <si>
    <t>Avena_insularis_BYU209_v1_assembly.fa</t>
  </si>
  <si>
    <t>Avena_insularis_BYU209_v1_assembly</t>
  </si>
  <si>
    <t>https://doi.org/10.21203/rs.3.rs-5726397/v1</t>
  </si>
  <si>
    <t>GCA_030063025.1</t>
  </si>
  <si>
    <t>GCA_030063025.1_ASM3006302v1_genomic.fna</t>
  </si>
  <si>
    <t>ASM3006302v1.fa</t>
  </si>
  <si>
    <t>ASM3006302v1</t>
  </si>
  <si>
    <t>Avena longiglumis</t>
  </si>
  <si>
    <t>Illumina NovaSeq; Oxford Nanopore PromethION</t>
  </si>
  <si>
    <r>
      <rPr>
        <u/>
        <sz val="12"/>
        <color rgb="FF000000"/>
        <rFont val="Calibri"/>
        <family val="2"/>
      </rPr>
      <t>10.1038/s41597-024-03248-6</t>
    </r>
  </si>
  <si>
    <t>GCA_910589755.1</t>
  </si>
  <si>
    <t>GCA_910589755.1_Avena_longiglumis_CN58138_v1_assembly_genomic.fna</t>
  </si>
  <si>
    <t>Avena_longiglumis_CN58138_v1_assembly.fa</t>
  </si>
  <si>
    <t>Avena_longiglumis_CN58138_v1_assembly</t>
  </si>
  <si>
    <t>CN 58138</t>
  </si>
  <si>
    <t>https://doi.org/10.1038/s41597-024-03248-6</t>
  </si>
  <si>
    <t>GCA_916181665.1</t>
  </si>
  <si>
    <t>GCA_916181665.1_Oat_OT3098_v2_genomic.fna</t>
  </si>
  <si>
    <t>Oat_OT3098_v2.fa</t>
  </si>
  <si>
    <t>Oat_OT3098_v2</t>
  </si>
  <si>
    <t>Avena sativa</t>
  </si>
  <si>
    <t>2</t>
  </si>
  <si>
    <t>Avena sativa – OT3098 v2, PepsiCo, https://wheat.pw.usda.gov/jb?data=/ggds/oat-ot3098v2-pepsico</t>
  </si>
  <si>
    <t>GCA_023646675.1</t>
  </si>
  <si>
    <t>GCA_023646675.1_ASM2364667v1_genomic.fna</t>
  </si>
  <si>
    <t>ASM2364667v1.fa</t>
  </si>
  <si>
    <t>ASM2364667v1</t>
  </si>
  <si>
    <t>Sanfensan</t>
  </si>
  <si>
    <r>
      <rPr>
        <u/>
        <sz val="12"/>
        <color rgb="FF000000"/>
        <rFont val="Calibri"/>
        <family val="2"/>
      </rPr>
      <t>10.21203/rs.3.rs-664692/v1</t>
    </r>
  </si>
  <si>
    <t>GCA_910574605.1</t>
  </si>
  <si>
    <t>GCA_910574605.1_Avena_sativa_cv_Sang_v1_assembly_genomic.fna</t>
  </si>
  <si>
    <t>Avena_sativa_cv_Sang_v1_assembly.fa</t>
  </si>
  <si>
    <t>Avena_sativa_cv_Sang_v1_assembly</t>
  </si>
  <si>
    <t>Sang</t>
  </si>
  <si>
    <r>
      <rPr>
        <u/>
        <sz val="12"/>
        <color rgb="FF000000"/>
        <rFont val="Calibri"/>
        <family val="2"/>
      </rPr>
      <t>10.1186/s13059-019-1899-5</t>
    </r>
  </si>
  <si>
    <t>GCA_036346245.1</t>
  </si>
  <si>
    <t>GCA_036346245.1_KIB_Bamp_2_genomic.fna</t>
  </si>
  <si>
    <t>KIB_Bamp_2.fa</t>
  </si>
  <si>
    <t>KIB_Bamp_2</t>
  </si>
  <si>
    <t>Bonia amplexicaulis</t>
  </si>
  <si>
    <t>Liujx17006</t>
  </si>
  <si>
    <t>GCA_023333625.1</t>
  </si>
  <si>
    <t>GCA_023333625.1_ASM2333362v1_genomic.fna</t>
  </si>
  <si>
    <t>ASM2333362v1.fa</t>
  </si>
  <si>
    <t>ASM2333362v1</t>
  </si>
  <si>
    <t>Bothriochloa decipiens</t>
  </si>
  <si>
    <t>Australia_COB1_7</t>
  </si>
  <si>
    <t>Illumina HiSeq</t>
  </si>
  <si>
    <r>
      <rPr>
        <u/>
        <sz val="12"/>
        <color rgb="FF000000"/>
        <rFont val="Calibri"/>
        <family val="2"/>
      </rPr>
      <t>10.22541/au.165165305.52615621/v1</t>
    </r>
  </si>
  <si>
    <t>BdistachyonTek_4_332_v1.fa</t>
  </si>
  <si>
    <t>BdistachyonTek_4_332_v1</t>
  </si>
  <si>
    <t>Brachypodium distachyon</t>
  </si>
  <si>
    <t>Tek-4</t>
  </si>
  <si>
    <t>1.0</t>
  </si>
  <si>
    <t>Illumina</t>
  </si>
  <si>
    <t>JGI</t>
  </si>
  <si>
    <t>https://phytozome-next.jgi.doe.gov/info/BdistachyonTek_4_v1</t>
  </si>
  <si>
    <r>
      <rPr>
        <u/>
        <sz val="12"/>
        <color rgb="FF000000"/>
        <rFont val="Calibri"/>
        <family val="2"/>
      </rPr>
      <t>https://doi.org/10.1038/s41467-017-02292-8</t>
    </r>
  </si>
  <si>
    <t>GCA_000005505.4</t>
  </si>
  <si>
    <t>GCA_000005505.4_Brachypodium_distachyon_v3.0_genomic.fna</t>
  </si>
  <si>
    <t>Brachypodium_distachyon_v3.0.fa</t>
  </si>
  <si>
    <t>Brachypodium_distachyon_v3.0</t>
  </si>
  <si>
    <t>Bd21</t>
  </si>
  <si>
    <t>3.0</t>
  </si>
  <si>
    <t>ABI 3739</t>
  </si>
  <si>
    <r>
      <rPr>
        <u/>
        <sz val="12"/>
        <color rgb="FF000000"/>
        <rFont val="Calibri"/>
        <family val="2"/>
      </rPr>
      <t>10.1038/nature08747</t>
    </r>
  </si>
  <si>
    <t>GCA_002892335.1</t>
  </si>
  <si>
    <t>GCA_002892335.1_ASM289233v1_genomic.fna</t>
  </si>
  <si>
    <t>ASM289233v1.fa</t>
  </si>
  <si>
    <t>ASM289233v1</t>
  </si>
  <si>
    <t>BdTR10h</t>
  </si>
  <si>
    <r>
      <rPr>
        <u/>
        <sz val="12"/>
        <color rgb="FF000000"/>
        <rFont val="Calibri"/>
        <family val="2"/>
      </rPr>
      <t>https://doi.org/10.1371/journal.pgen.1007637</t>
    </r>
  </si>
  <si>
    <t>GCA_002892295.1</t>
  </si>
  <si>
    <t>GCA_002892295.1_ASM289229v1_genomic.fna</t>
  </si>
  <si>
    <t>ASM289229v1.fa</t>
  </si>
  <si>
    <t>ASM289229v1</t>
  </si>
  <si>
    <t>BdTR13k</t>
  </si>
  <si>
    <r>
      <rPr>
        <u/>
        <sz val="12"/>
        <color rgb="FF000000"/>
        <rFont val="Calibri"/>
        <family val="2"/>
      </rPr>
      <t>https://doi.org/10.1371/journal.pgen.1007637</t>
    </r>
  </si>
  <si>
    <t>GCA_001742125.1</t>
  </si>
  <si>
    <t>GCA_001742125.1_ASM174212v1_genomic.fna</t>
  </si>
  <si>
    <t>ASM174212v1.fa</t>
  </si>
  <si>
    <t>ASM174212v1</t>
  </si>
  <si>
    <t>ABR6</t>
  </si>
  <si>
    <r>
      <rPr>
        <u/>
        <sz val="12"/>
        <color rgb="FF000000"/>
        <rFont val="Calibri"/>
        <family val="2"/>
      </rPr>
      <t>10.1104/pp.16.00813</t>
    </r>
  </si>
  <si>
    <t>Bhybridum_463_v1.0.fa</t>
  </si>
  <si>
    <t>Bhybridum_463_v1.0</t>
  </si>
  <si>
    <t>Brachypodium hybridum</t>
  </si>
  <si>
    <t>Pacbio</t>
  </si>
  <si>
    <t>https://phytozome-next.jgi.doe.gov/info/Bhybridum_v1_1</t>
  </si>
  <si>
    <t>https://doi.org/10.1038/s41467-020-17302-5</t>
  </si>
  <si>
    <t>genome_36247.fa</t>
  </si>
  <si>
    <t>Brachypodium_stacei.fa</t>
  </si>
  <si>
    <t>Brachypodium_stacei</t>
  </si>
  <si>
    <t>Brachypodium stacei</t>
  </si>
  <si>
    <t>unknown</t>
  </si>
  <si>
    <t>CoGE</t>
  </si>
  <si>
    <t>https://genomevolution.org/coge/GenomeInfo.pl?gid=36247</t>
  </si>
  <si>
    <r>
      <rPr>
        <u/>
        <sz val="12"/>
        <color rgb="FF000000"/>
        <rFont val="Calibri"/>
        <family val="2"/>
      </rPr>
      <t>https://doi.org/10.1111/j.1365-313X.2007.03326.x</t>
    </r>
  </si>
  <si>
    <t>GCA_950022295.1</t>
  </si>
  <si>
    <t>GCA_950022295.1_lpBroSter1.1_genomic.fna</t>
  </si>
  <si>
    <t>lpBroSter1.1.fa</t>
  </si>
  <si>
    <t>lpBroSter1.1</t>
  </si>
  <si>
    <t>Bromus sterilis</t>
  </si>
  <si>
    <t>1.1</t>
  </si>
  <si>
    <t>PacBio;Arima2</t>
  </si>
  <si>
    <r>
      <rPr>
        <u/>
        <sz val="12"/>
        <color rgb="FF000000"/>
        <rFont val="Calibri"/>
        <family val="2"/>
      </rPr>
      <t>10.12688/wellcomeopenres.22994.1</t>
    </r>
  </si>
  <si>
    <t>genome_64356.fa</t>
  </si>
  <si>
    <t>Bromus_tectorum.fa</t>
  </si>
  <si>
    <t>Bromus_tectorum</t>
  </si>
  <si>
    <t>Bromus tectorum</t>
  </si>
  <si>
    <t>1</t>
  </si>
  <si>
    <t>PacBio_Illumina</t>
  </si>
  <si>
    <t>https://genomevolution.org/coge/GenomeInfo.pl?gid=64356</t>
  </si>
  <si>
    <t>https://doi.org/10.1038/s42003-023-04620-9</t>
  </si>
  <si>
    <t>GCA_947561735.1</t>
  </si>
  <si>
    <t>GCA_947561735.1_pearl_millet_23DB_ONT_assembly_genomic.fna</t>
  </si>
  <si>
    <t>pearl_millet_23DB_ONT_assembly.fa</t>
  </si>
  <si>
    <t>pearl_millet_23DB_ONT_assembly</t>
  </si>
  <si>
    <t>Cenchrus americanus</t>
  </si>
  <si>
    <t>ONT</t>
  </si>
  <si>
    <r>
      <rPr>
        <u/>
        <sz val="12"/>
        <color rgb="FF000000"/>
        <rFont val="Calibri"/>
        <family val="2"/>
      </rPr>
      <t>10.1093/g3journal/jkad051</t>
    </r>
  </si>
  <si>
    <t>GCA_020739565.1</t>
  </si>
  <si>
    <t>GCA_020739565.1_ASM2073956v1_genomic.fna</t>
  </si>
  <si>
    <t>ASM2073956v1.fa</t>
  </si>
  <si>
    <t>ASM2073956v1</t>
  </si>
  <si>
    <t>PI537069</t>
  </si>
  <si>
    <t>https://doi.org/10.1038/s41588-023-01302-4</t>
  </si>
  <si>
    <t>GCA_020739585.1</t>
  </si>
  <si>
    <t>GCA_020739585.1_ASM2073958v1_genomic.fna</t>
  </si>
  <si>
    <t>ASM2073958v1.fa</t>
  </si>
  <si>
    <t>ASM2073958v1</t>
  </si>
  <si>
    <t>Tifleaf 3</t>
  </si>
  <si>
    <t>GCA_020739525.1</t>
  </si>
  <si>
    <t>GCA_020739525.1_ASM2073952v1_genomic.fna</t>
  </si>
  <si>
    <t>ASM2073952v1.fa</t>
  </si>
  <si>
    <t>ASM2073952v1</t>
  </si>
  <si>
    <t>PI521612</t>
  </si>
  <si>
    <t>GCA_020739575.1</t>
  </si>
  <si>
    <t>GCA_020739575.1_ASM2073957v1_genomic.fna</t>
  </si>
  <si>
    <t>ASM2073957v1.fa</t>
  </si>
  <si>
    <t>ASM2073957v1</t>
  </si>
  <si>
    <t>PI583800</t>
  </si>
  <si>
    <t>GCA_036936925.1</t>
  </si>
  <si>
    <t>GCA_036936925.1_ASM3693692v1_genomic.fna</t>
  </si>
  <si>
    <t>ASM3693692v1.fa</t>
  </si>
  <si>
    <t>ASM3693692v1</t>
  </si>
  <si>
    <t>Cenchrus fungigraminus</t>
  </si>
  <si>
    <t>JUJUNCAO</t>
  </si>
  <si>
    <r>
      <rPr>
        <u/>
        <sz val="12"/>
        <color rgb="FF000000"/>
        <rFont val="Calibri"/>
        <family val="2"/>
      </rPr>
      <t>10.1016/j.xplc.2023.100633</t>
    </r>
  </si>
  <si>
    <t>GCA_022644695.1</t>
  </si>
  <si>
    <t>GCA_022644695.1_ASM2264469v1_genomic.fna</t>
  </si>
  <si>
    <t>ASM2264469v1.fa</t>
  </si>
  <si>
    <t>ASM2264469v1</t>
  </si>
  <si>
    <t>Cenchrus purpureus</t>
  </si>
  <si>
    <t>elephant grass</t>
  </si>
  <si>
    <r>
      <rPr>
        <u/>
        <sz val="12"/>
        <color rgb="FF000000"/>
        <rFont val="Calibri"/>
        <family val="2"/>
      </rPr>
      <t>https://doi.org/10.1111/1755-0998.13612</t>
    </r>
  </si>
  <si>
    <t>GCA_028749085.1</t>
  </si>
  <si>
    <t>GCA_028749085.1_C_purpureuscv._Purple_genomic.fna</t>
  </si>
  <si>
    <t>C_purpureuscv._Purple.fa</t>
  </si>
  <si>
    <t>C_purpureuscv._Purple</t>
  </si>
  <si>
    <t>Purple</t>
  </si>
  <si>
    <t>Oxford Nanopore; Illumina</t>
  </si>
  <si>
    <r>
      <rPr>
        <u/>
        <sz val="12"/>
        <color rgb="FF000000"/>
        <rFont val="Calibri"/>
        <family val="2"/>
      </rPr>
      <t>10.1111/1755-0998.13271</t>
    </r>
  </si>
  <si>
    <t>GCA_031894775.1</t>
  </si>
  <si>
    <t>GCA_031894775.1_ASM3189477v1_genomic.fna</t>
  </si>
  <si>
    <t>ASM3189477v1.fa</t>
  </si>
  <si>
    <t>ASM3189477v1</t>
  </si>
  <si>
    <t>Chloris gayana</t>
  </si>
  <si>
    <t>Tolgar_Tolgar-108</t>
  </si>
  <si>
    <r>
      <rPr>
        <u/>
        <sz val="12"/>
        <color rgb="FF000000"/>
        <rFont val="Calibri"/>
        <family val="2"/>
      </rPr>
      <t>10.3389/fpls.2023.1239290</t>
    </r>
  </si>
  <si>
    <t>GCA_015844335.1</t>
  </si>
  <si>
    <t>GCA_015844335.1_Cs-A1013-Draft-PanAnd-1.0_genomic.fna</t>
  </si>
  <si>
    <t>Cs-A1013-Draft-PanAnd-1.0.fa</t>
  </si>
  <si>
    <t>Cs-A1013-Draft-PanAnd-1.0</t>
  </si>
  <si>
    <t>Chrysopogon serrulatus</t>
  </si>
  <si>
    <t>Kellogg PI219580_1</t>
  </si>
  <si>
    <t>Oxford Nanopore MinION; Illumina NovaSeq</t>
  </si>
  <si>
    <r>
      <rPr>
        <u/>
        <sz val="12"/>
        <color rgb="FF000000"/>
        <rFont val="Calibri"/>
        <family val="2"/>
      </rPr>
      <t>10.1101/gr.266528.120</t>
    </r>
  </si>
  <si>
    <t>GCA_009725075.1</t>
  </si>
  <si>
    <t>GCA_009725075.1_ASM972507v1_genomic.fna</t>
  </si>
  <si>
    <t>ASM972507v1.fa</t>
  </si>
  <si>
    <t>ASM972507v1</t>
  </si>
  <si>
    <t>Coix aquatica</t>
  </si>
  <si>
    <t>Daheishan</t>
  </si>
  <si>
    <r>
      <rPr>
        <u/>
        <sz val="12"/>
        <color rgb="FF000000"/>
        <rFont val="Calibri"/>
        <family val="2"/>
      </rPr>
      <t>10.1016/j.molp.2019.11.008</t>
    </r>
  </si>
  <si>
    <t>GCA_009763385.1</t>
  </si>
  <si>
    <t>GCA_009763385.1_ASM976338v1_genomic.fna</t>
  </si>
  <si>
    <t>ASM976338v1.fa</t>
  </si>
  <si>
    <t>ASM976338v1</t>
  </si>
  <si>
    <t>Coix lacryma-jobi</t>
  </si>
  <si>
    <t>lacryma-jobi_BJ</t>
  </si>
  <si>
    <t>Illumina HiSeq; PacBio RSII; PacBio Sequel</t>
  </si>
  <si>
    <r>
      <rPr>
        <u/>
        <sz val="12"/>
        <color rgb="FF000000"/>
        <rFont val="Calibri"/>
        <family val="2"/>
      </rPr>
      <t>0.1016/j.molp.2019.11.009</t>
    </r>
  </si>
  <si>
    <t>GCA_009758035.1</t>
  </si>
  <si>
    <t>GCA_009758035.1_Adlay_draft_genome_1.0_genomic.fna</t>
  </si>
  <si>
    <t>Adlay_draft_genome_1.0.fa</t>
  </si>
  <si>
    <t>Adlay_draft_genome_1.0</t>
  </si>
  <si>
    <t>ma-yuen_Johyun</t>
  </si>
  <si>
    <t>PacBio RSII</t>
  </si>
  <si>
    <r>
      <rPr>
        <u/>
        <sz val="12"/>
        <color rgb="FF000000"/>
        <rFont val="Calibri"/>
        <family val="2"/>
      </rPr>
      <t>10.3389/fpls.2020.0063</t>
    </r>
  </si>
  <si>
    <t>GCA_031170775.1</t>
  </si>
  <si>
    <t>GCA_031170775.1_Ccit.v1.0_genomic.fna</t>
  </si>
  <si>
    <t>Ccit.v1.0.fa</t>
  </si>
  <si>
    <t>Ccit.v1.0</t>
  </si>
  <si>
    <t>Cymbopogon citratus</t>
  </si>
  <si>
    <t>IRGN J3P28PV5NC</t>
  </si>
  <si>
    <t>Illumina X Ten</t>
  </si>
  <si>
    <t>10.7324/JABB.2024.125317</t>
  </si>
  <si>
    <t>GCA_027790015.1</t>
  </si>
  <si>
    <t>GCA_027790015.1_ASM2779001v1_genomic.fna</t>
  </si>
  <si>
    <t>ASM2779001v1.fa</t>
  </si>
  <si>
    <t>ASM2779001v1</t>
  </si>
  <si>
    <t>Cymbopogon flexuosus</t>
  </si>
  <si>
    <t>SLK_2022</t>
  </si>
  <si>
    <t>Unpublished</t>
  </si>
  <si>
    <t>genome_65451.fa</t>
  </si>
  <si>
    <t>Cynodon_nlemfuensis.fa</t>
  </si>
  <si>
    <t>Cynodon_nlemfuensis</t>
  </si>
  <si>
    <t>Cynodon nlemfuensis</t>
  </si>
  <si>
    <t>https://genomevolution.org/coge/GenomeInfo.pl?gid=65451</t>
  </si>
  <si>
    <r>
      <rPr>
        <u/>
        <sz val="12"/>
        <color rgb="FF000000"/>
        <rFont val="Calibri"/>
        <family val="2"/>
      </rPr>
      <t>https://doi.org/10.1111/j.1365-313X.2007.03326.x</t>
    </r>
  </si>
  <si>
    <t>GCA_007115705.1</t>
  </si>
  <si>
    <t>GCA_007115705.1_ASM711570v1_genomic.fna</t>
  </si>
  <si>
    <t>ASM711570v1.fa</t>
  </si>
  <si>
    <t>ASM711570v1</t>
  </si>
  <si>
    <t>Dactylis glomerata</t>
  </si>
  <si>
    <t>Dgl</t>
  </si>
  <si>
    <r>
      <rPr>
        <u/>
        <sz val="12"/>
        <color rgb="FF000000"/>
        <rFont val="Calibri"/>
        <family val="2"/>
      </rPr>
      <t>10.1111/pbi.13205</t>
    </r>
  </si>
  <si>
    <t>GCA_002892645.1</t>
  </si>
  <si>
    <t>GCA_002892645.1_ASM289264v1_genomic.fna</t>
  </si>
  <si>
    <t>ASM289264v1.fa</t>
  </si>
  <si>
    <t>ASM289264v1</t>
  </si>
  <si>
    <t>GCA_017311315.1</t>
  </si>
  <si>
    <t>GCA_017311315.1_mabamboo_1.0_genomic.fna</t>
  </si>
  <si>
    <t>mabamboo_1.0.fa</t>
  </si>
  <si>
    <t>mabamboo_1.0</t>
  </si>
  <si>
    <t>Dendrocalamus latiflorus</t>
  </si>
  <si>
    <t>YDM-20191121</t>
  </si>
  <si>
    <r>
      <rPr>
        <u/>
        <sz val="12"/>
        <color rgb="FF000000"/>
        <rFont val="Calibri"/>
        <family val="2"/>
      </rPr>
      <t>https://doi.org/10.1111/jipb.13217</t>
    </r>
  </si>
  <si>
    <t>GCA_036346575.1</t>
  </si>
  <si>
    <t>GCA_036346575.1_KIB_Dsin_1_genomic.fna</t>
  </si>
  <si>
    <t>KIB_Dsin_1.fa</t>
  </si>
  <si>
    <t>KIB_Dsin_1</t>
  </si>
  <si>
    <t>Dendrocalamus sinicus</t>
  </si>
  <si>
    <t>GZH08</t>
  </si>
  <si>
    <t>GCA_001633215.2</t>
  </si>
  <si>
    <t>GCA_001633215.2_ASM163321v2_genomic.fna</t>
  </si>
  <si>
    <t>ASM163321v2.fa</t>
  </si>
  <si>
    <t>ASM163321v2</t>
  </si>
  <si>
    <t>Dichanthelium oligosanthes</t>
  </si>
  <si>
    <t>Kellogg 1175</t>
  </si>
  <si>
    <t>https://doi.org/10.1186/s13059-016-1080-3</t>
  </si>
  <si>
    <t>GCA_015342445.1</t>
  </si>
  <si>
    <t>GCA_015342445.1_DiExil_genomic.fna</t>
  </si>
  <si>
    <t>DiExil.fa</t>
  </si>
  <si>
    <t>DiExil</t>
  </si>
  <si>
    <t>Digitaria exilis</t>
  </si>
  <si>
    <t>Niatia</t>
  </si>
  <si>
    <r>
      <rPr>
        <u/>
        <sz val="12"/>
        <color rgb="FF000000"/>
        <rFont val="Calibri"/>
        <family val="2"/>
      </rPr>
      <t>https://doi.org/10.1093/gigascience/giab013</t>
    </r>
  </si>
  <si>
    <t>GCA_902859565.1</t>
  </si>
  <si>
    <t>GCA_902859565.1_Fonio_CM05836_genomic.fna</t>
  </si>
  <si>
    <t>Fonio_CM05836.fa</t>
  </si>
  <si>
    <t>Fonio_CM05836</t>
  </si>
  <si>
    <t>https://doi.org/10.1038/s41467-020-18329-4</t>
  </si>
  <si>
    <t>GCA_025118225.1</t>
  </si>
  <si>
    <t>GCA_025118225.1_ASM2511822v1_genomic.fna</t>
  </si>
  <si>
    <t>ASM2511822v1.fa</t>
  </si>
  <si>
    <t>ASM2511822v1</t>
  </si>
  <si>
    <t>Echinochloa crus-galli</t>
  </si>
  <si>
    <t>STB08</t>
  </si>
  <si>
    <t>10.1016/j.molp.2020.07.001</t>
  </si>
  <si>
    <t>GCA_033239725.1</t>
  </si>
  <si>
    <t>GCA_033239725.1_ASM3323972v1_genomic.fna</t>
  </si>
  <si>
    <t>ASM3323972v1.fa</t>
  </si>
  <si>
    <t>ASM3323972v1</t>
  </si>
  <si>
    <t>Echinochloa phyllopogon</t>
  </si>
  <si>
    <t>R511</t>
  </si>
  <si>
    <t>PacBio Sequel IIe</t>
  </si>
  <si>
    <r>
      <rPr>
        <u/>
        <sz val="12"/>
        <color rgb="FF000000"/>
        <rFont val="Calibri"/>
        <family val="2"/>
      </rPr>
      <t>https://doi.org/10.1093/dnares/dsad023</t>
    </r>
  </si>
  <si>
    <t>GCA_032690845.1</t>
  </si>
  <si>
    <t>GCA_032690845.1_Eleusine_coracana_v1.0_genomic.fna</t>
  </si>
  <si>
    <t>Eleusine_coracana_v1.0.fa</t>
  </si>
  <si>
    <t>Eleusine_coracana_v1.0</t>
  </si>
  <si>
    <t>Eleusine coracana</t>
  </si>
  <si>
    <t>coracana_KNE 796-S</t>
  </si>
  <si>
    <t>PacBio CLR</t>
  </si>
  <si>
    <t>https://doi.org/10.1038/s41467-023-38915-6</t>
  </si>
  <si>
    <t>GCA_021604985.1</t>
  </si>
  <si>
    <t>GCA_021604985.1_Ragi_PR202_v._2.0_genomic.fna</t>
  </si>
  <si>
    <t>Ragi_PR202_v._2.0.fa</t>
  </si>
  <si>
    <t>Ragi_PR202_v._2.0</t>
  </si>
  <si>
    <t>coracana_PR202</t>
  </si>
  <si>
    <t>Illumina MiSeq; NextSeq; PacBIo RSII; Bionano Saphyr</t>
  </si>
  <si>
    <r>
      <rPr>
        <u/>
        <sz val="12"/>
        <color rgb="FF000000"/>
        <rFont val="Calibri"/>
        <family val="2"/>
      </rPr>
      <t>10.1093/dnares/dsx036</t>
    </r>
  </si>
  <si>
    <t>GCA_002180455.1</t>
  </si>
  <si>
    <t>GCA_002180455.1_ASM218045v1_genomic.fna</t>
  </si>
  <si>
    <t>ASM218045v1.fa</t>
  </si>
  <si>
    <t>ASM218045v1</t>
  </si>
  <si>
    <t>coracana_ML-365</t>
  </si>
  <si>
    <t>Illumina NextSeq; Illumina HiSeq; SOLiD</t>
  </si>
  <si>
    <r>
      <rPr>
        <u/>
        <sz val="12"/>
        <color rgb="FF000000"/>
        <rFont val="Calibri"/>
        <family val="2"/>
      </rPr>
      <t>10.1186/s12864-017-3850-z</t>
    </r>
  </si>
  <si>
    <t>GCA_030378355.1</t>
  </si>
  <si>
    <t>GCA_030378355.1_ASM3037835v1_genomic.fna</t>
  </si>
  <si>
    <t>ASM3037835v1.fa</t>
  </si>
  <si>
    <t>ASM3037835v1</t>
  </si>
  <si>
    <t>Eleusine indica</t>
  </si>
  <si>
    <t>GLY-S</t>
  </si>
  <si>
    <r>
      <rPr>
        <u/>
        <sz val="12"/>
        <color rgb="FF000000"/>
        <rFont val="Calibri"/>
        <family val="2"/>
      </rPr>
      <t>10.21203/rs.3.rs-2587355/v1</t>
    </r>
  </si>
  <si>
    <t>GCA_030411765.1</t>
  </si>
  <si>
    <t>GCA_030411765.1_ASM3041176v1_genomic.fna</t>
  </si>
  <si>
    <t>ASM3041176v1.fa</t>
  </si>
  <si>
    <t>ASM3041176v1</t>
  </si>
  <si>
    <t>GLY-R</t>
  </si>
  <si>
    <r>
      <rPr>
        <u/>
        <sz val="12"/>
        <color rgb="FF000000"/>
        <rFont val="Calibri"/>
        <family val="2"/>
      </rPr>
      <t>10.21203/rs.3.rs-2587355/v1</t>
    </r>
  </si>
  <si>
    <t>GCA_003369855.1</t>
  </si>
  <si>
    <t>GCA_003369855.1_ASM336985v1_genomic.fna</t>
  </si>
  <si>
    <t>ASM336985v1.fa</t>
  </si>
  <si>
    <t>ASM336985v1</t>
  </si>
  <si>
    <t>HZ-2018</t>
  </si>
  <si>
    <r>
      <rPr>
        <u/>
        <sz val="12"/>
        <color rgb="FF000000"/>
        <rFont val="Calibri"/>
        <family val="2"/>
      </rPr>
      <t>10.1002/ps.5389</t>
    </r>
  </si>
  <si>
    <t>GCA_022709325.1</t>
  </si>
  <si>
    <t>GCA_022709325.1_ASM2270932v1_genomic.fna</t>
  </si>
  <si>
    <t>ASM2270932v1.fa</t>
  </si>
  <si>
    <t>ASM2270932v1</t>
  </si>
  <si>
    <t>EC516245</t>
  </si>
  <si>
    <t>10.1007/978-3-031-00868-9_6</t>
  </si>
  <si>
    <t>GCA_007726485.1</t>
  </si>
  <si>
    <t>GCA_007726485.1_CERZOS_EC1.0_genomic.fna</t>
  </si>
  <si>
    <t>CERZOS_EC1.0.fa</t>
  </si>
  <si>
    <t>CERZOS_EC1.0</t>
  </si>
  <si>
    <t>Eragrostis curvula</t>
  </si>
  <si>
    <t>Victoria</t>
  </si>
  <si>
    <t>PacBio Sequel; Chicago; Hi-C</t>
  </si>
  <si>
    <r>
      <rPr>
        <u/>
        <sz val="12"/>
        <color rgb="FF000000"/>
        <rFont val="Calibri"/>
        <family val="2"/>
      </rPr>
      <t>10.1038/s41598-019-46610-0</t>
    </r>
  </si>
  <si>
    <t>GCA_012490785.1</t>
  </si>
  <si>
    <t>GCA_012490785.1_MSU_Enin_2.1_genomic.fna</t>
  </si>
  <si>
    <t>MSU_Enin_2.1.fa</t>
  </si>
  <si>
    <t>MSU_Enin_2.1</t>
  </si>
  <si>
    <t>Eragrostis nindensis</t>
  </si>
  <si>
    <t>2366_JP_En_410063_0001</t>
  </si>
  <si>
    <r>
      <rPr>
        <u/>
        <sz val="12"/>
        <color rgb="FF000000"/>
        <rFont val="Calibri"/>
        <family val="2"/>
      </rPr>
      <t>https://doi.org/10.1073/pnas.2001928117</t>
    </r>
  </si>
  <si>
    <t>GCA_000970635.1</t>
  </si>
  <si>
    <t>GCA_000970635.1_ASM97063v1_genomic.fna</t>
  </si>
  <si>
    <t>ASM97063v1.fa</t>
  </si>
  <si>
    <t>ASM97063v1</t>
  </si>
  <si>
    <t>Eragrostis tef</t>
  </si>
  <si>
    <t>Tsedey (DZ-Cr-37)</t>
  </si>
  <si>
    <t>Illumina HiSeq; 454</t>
  </si>
  <si>
    <r>
      <rPr>
        <u/>
        <sz val="12"/>
        <color rgb="FF000000"/>
        <rFont val="Calibri"/>
        <family val="2"/>
      </rPr>
      <t>10.1186/1471-2164-15-581</t>
    </r>
  </si>
  <si>
    <t>GCA_024500355.1</t>
  </si>
  <si>
    <t>GCA_024500355.1_Salk_teff_dabbi_3.0_genomic.fna</t>
  </si>
  <si>
    <t>Salk_teff_dabbi_3.0.fa</t>
  </si>
  <si>
    <t>Salk_teff_dabbi_3.0</t>
  </si>
  <si>
    <t>Dabbi</t>
  </si>
  <si>
    <t>PacBio RSII; Illumina HiSeq</t>
  </si>
  <si>
    <r>
      <rPr>
        <u/>
        <sz val="12"/>
        <color rgb="FF000000"/>
        <rFont val="Calibri"/>
        <family val="2"/>
      </rPr>
      <t>10.1038/s41467-020-14724-z</t>
    </r>
  </si>
  <si>
    <t>genome_66483.fa</t>
  </si>
  <si>
    <t>Festuca_brevipila.fa</t>
  </si>
  <si>
    <t>Festuca_brevipila</t>
  </si>
  <si>
    <t>Festuca brevipila</t>
  </si>
  <si>
    <t>0.1</t>
  </si>
  <si>
    <t>https://genomevolution.org/coge/GenomeInfo.pl?gid=66483</t>
  </si>
  <si>
    <r>
      <rPr>
        <u/>
        <sz val="12"/>
        <color rgb="FF000000"/>
        <rFont val="Calibri"/>
        <family val="2"/>
      </rPr>
      <t>https://doi.org/10.1111/j.1365-313X.2007.03326.x</t>
    </r>
  </si>
  <si>
    <t>GCA_036346375.1</t>
  </si>
  <si>
    <t>GCA_036346375.1_KIB_Gang_2_genomic.fna</t>
  </si>
  <si>
    <t>KIB_Gang_2.fa</t>
  </si>
  <si>
    <t>KIB_Gang_2</t>
  </si>
  <si>
    <t>Guadua angustifolia</t>
  </si>
  <si>
    <t>GZH04</t>
  </si>
  <si>
    <t>GCA_963506655.1</t>
  </si>
  <si>
    <t>GCA_963506655.1_FB19_011_3_genomic.fna</t>
  </si>
  <si>
    <t>FB19_011_3.fa</t>
  </si>
  <si>
    <t>FB19_011_3</t>
  </si>
  <si>
    <t>Hordeum bulbosum</t>
  </si>
  <si>
    <t>Illumina Novaseq 6000; PacBio Sequel II</t>
  </si>
  <si>
    <t>https://doi.org/10.21203/rs.3.rs-3916840/v1</t>
  </si>
  <si>
    <t>GCA_963506745.1</t>
  </si>
  <si>
    <t>GCA_963506745.1_A17_genomic.fna</t>
  </si>
  <si>
    <t>A17.fa</t>
  </si>
  <si>
    <t>A17</t>
  </si>
  <si>
    <t>GCA_963506665.1</t>
  </si>
  <si>
    <t>GCA_963506665.1_FB19_001_1_genomic.fna</t>
  </si>
  <si>
    <t>FB19_001_1.fa</t>
  </si>
  <si>
    <t>FB19_001_1</t>
  </si>
  <si>
    <t>GCA_963506645.1</t>
  </si>
  <si>
    <t>GCA_963506645.1_FB19_028_3_genomic.fna</t>
  </si>
  <si>
    <t>FB19_028_3.fa</t>
  </si>
  <si>
    <t>FB19_028_3</t>
  </si>
  <si>
    <t>GCA_963506695.1</t>
  </si>
  <si>
    <t>GCA_963506695.1_A42_genomic.fna</t>
  </si>
  <si>
    <t>A42.fa</t>
  </si>
  <si>
    <t>A42</t>
  </si>
  <si>
    <t>GCA_022496015.1</t>
  </si>
  <si>
    <t>GCA_022496015.1_ASM2249601v1_genomic.fna</t>
  </si>
  <si>
    <t>ASM2249601v1.fa</t>
  </si>
  <si>
    <t>ASM2249601v1</t>
  </si>
  <si>
    <t>Hordeum marinum</t>
  </si>
  <si>
    <t>H559</t>
  </si>
  <si>
    <t>PacBio Sequel; Illumina</t>
  </si>
  <si>
    <t>10.1016/j.xplc.2022.100333</t>
  </si>
  <si>
    <t>GCA_904849725.1</t>
  </si>
  <si>
    <t>GCA_904849725.1_MorexV3_pseudomolecules_assembly_genomic.fna</t>
  </si>
  <si>
    <t>MorexV3_pseudomolecules_assembly.fa</t>
  </si>
  <si>
    <t>MorexV3_pseudomolecules_assembly</t>
  </si>
  <si>
    <t>Hordeum vulgare</t>
  </si>
  <si>
    <t>vulgare</t>
  </si>
  <si>
    <r>
      <rPr>
        <u/>
        <sz val="12"/>
        <color rgb="FF000000"/>
        <rFont val="Calibri"/>
        <family val="2"/>
      </rPr>
      <t>https://doi.org/10.1093/plcell/koab077</t>
    </r>
  </si>
  <si>
    <t>GCA_949783385.1</t>
  </si>
  <si>
    <t>GCA_949783385.1_Hvulgare_HOR_13663_BPGv2_genomic.fna</t>
  </si>
  <si>
    <t>Hvulgare_HOR_13663_BPGv2.fa</t>
  </si>
  <si>
    <t>Hvulgare_HOR_13663_BPGv2</t>
  </si>
  <si>
    <t>https://doi.org/10.1038/s41586-024-08187-1</t>
  </si>
  <si>
    <t>GCA_949783345.1</t>
  </si>
  <si>
    <t>GCA_949783345.1_Hvulgare_HOR_4224_BPGv2_genomic.fna</t>
  </si>
  <si>
    <t>Hvulgare_HOR_4224_BPGv2.fa</t>
  </si>
  <si>
    <t>Hvulgare_HOR_4224_BPGv2</t>
  </si>
  <si>
    <t>GCA_949783405.1</t>
  </si>
  <si>
    <t>GCA_949783405.1_Hvulgare_HOR_19184_BPGv2_genomic.fna</t>
  </si>
  <si>
    <t>Hvulgare_HOR_19184_BPGv2.fa</t>
  </si>
  <si>
    <t>Hvulgare_HOR_19184_BPGv2</t>
  </si>
  <si>
    <t>GCA_949783245.1</t>
  </si>
  <si>
    <t>GCA_949783245.1_Hvulgare_FT262_BPGv2_genomic.fna</t>
  </si>
  <si>
    <t>Hvulgare_FT262_BPGv2.fa</t>
  </si>
  <si>
    <t>Hvulgare_FT262_BPGv2</t>
  </si>
  <si>
    <t>spontaneum</t>
  </si>
  <si>
    <t>GCA_036346395.1</t>
  </si>
  <si>
    <t>GCA_036346395.1_KIB_Hcal_1_genomic.fna</t>
  </si>
  <si>
    <t>KIB_Hcal_1.fa</t>
  </si>
  <si>
    <t>KIB_Hcal_1</t>
  </si>
  <si>
    <t>Hsuehochloa calcarea</t>
  </si>
  <si>
    <t>GZH06</t>
  </si>
  <si>
    <t>GCA_015847255.1</t>
  </si>
  <si>
    <t>GCA_015847255.1_Hd-A1025-Draft-PanAnd-1.0_genomic.fna</t>
  </si>
  <si>
    <t>Hd-A1025-Draft-PanAnd-1.0.fa</t>
  </si>
  <si>
    <t>Hd-A1025-Draft-PanAnd-1.0</t>
  </si>
  <si>
    <t>Hyparrhenia diplandra</t>
  </si>
  <si>
    <t>Pasquet 1126_1</t>
  </si>
  <si>
    <r>
      <rPr>
        <u/>
        <sz val="12"/>
        <color rgb="FF000000"/>
        <rFont val="Calibri"/>
        <family val="2"/>
      </rPr>
      <t>10.1101/gr.266528.120</t>
    </r>
  </si>
  <si>
    <t>GCA_000325765.3</t>
  </si>
  <si>
    <t>GCA_000325765.3_Lperr_V1.4_genomic.fna</t>
  </si>
  <si>
    <t>Lperr_V1.4.fa</t>
  </si>
  <si>
    <t>Lperr_V1.4</t>
  </si>
  <si>
    <t>Leersia perrieri</t>
  </si>
  <si>
    <t>https://doi.org/10.1038/s41588-018-0040-0</t>
  </si>
  <si>
    <t>GCA_030979885.1</t>
  </si>
  <si>
    <t>GCA_030979885.1_Rabiosa_unphased_assembly_genomic.fna</t>
  </si>
  <si>
    <t>Rabiosa_unphased_assembly.fa</t>
  </si>
  <si>
    <t>Rabiosa_unphased_assembly</t>
  </si>
  <si>
    <t>Lolium multiflorum</t>
  </si>
  <si>
    <t>Rabiosa_02402/16</t>
  </si>
  <si>
    <t>Oxford Nanopore</t>
  </si>
  <si>
    <t>https://doi.org/10.1101/2024.10.07.616977</t>
  </si>
  <si>
    <t>GCA_019359855.1</t>
  </si>
  <si>
    <t>GCA_019359855.1_MPB_Lper_Kyuss_1697_genomic.fna</t>
  </si>
  <si>
    <t>MPB_Lper_Kyuss_1697.fa</t>
  </si>
  <si>
    <t>MPB_Lper_Kyuss_1697</t>
  </si>
  <si>
    <t>Lolium perenne</t>
  </si>
  <si>
    <t>Kyuss_39</t>
  </si>
  <si>
    <t>Oxford Nanopore PromethION; Illumina NovaSeq</t>
  </si>
  <si>
    <t>10.1093/gbe/evab203.</t>
  </si>
  <si>
    <t>GCA_001735685.1</t>
  </si>
  <si>
    <t>GCA_001735685.1_ASM173568v1_genomic.fna</t>
  </si>
  <si>
    <t>ASM173568v1.fa</t>
  </si>
  <si>
    <t>ASM173568v1</t>
  </si>
  <si>
    <t>Illumina MiSeq</t>
  </si>
  <si>
    <t xml:space="preserve"> https://doi.org/10.2135/cropsci2016.07.0608</t>
  </si>
  <si>
    <t>GCA_022539505.1</t>
  </si>
  <si>
    <t>GCA_022539505.1_APGP_CSIRO_Lrig_0.1_genomic.fna</t>
  </si>
  <si>
    <t>APGP_CSIRO_Lrig_0.1.fa</t>
  </si>
  <si>
    <t>APGP_CSIRO_Lrig_0.1</t>
  </si>
  <si>
    <t>Lolium rigidum</t>
  </si>
  <si>
    <t>FL_2022</t>
  </si>
  <si>
    <t>Oxford Nanopore PromethION; Oxford Nanopore MinION</t>
  </si>
  <si>
    <r>
      <rPr>
        <u/>
        <sz val="12"/>
        <color rgb="FF000000"/>
        <rFont val="Calibri"/>
        <family val="2"/>
      </rPr>
      <t>https://doi.org/10.3389/fgene.2022.1012694</t>
    </r>
  </si>
  <si>
    <t>GCA_036346265.1</t>
  </si>
  <si>
    <t>GCA_036346265.1_KIB_Mbac_1_genomic.fna</t>
  </si>
  <si>
    <t>KIB_Mbac_1.fa</t>
  </si>
  <si>
    <t>KIB_Mbac_1</t>
  </si>
  <si>
    <t>Melocanna baccifera</t>
  </si>
  <si>
    <t>GZH09</t>
  </si>
  <si>
    <t>GCA_022036555.1</t>
  </si>
  <si>
    <t>GCA_022036555.1_ASM2203655v1_genomic.fna</t>
  </si>
  <si>
    <t>ASM2203655v1.fa</t>
  </si>
  <si>
    <t>ASM2203655v1</t>
  </si>
  <si>
    <t>Microstegium vimineum</t>
  </si>
  <si>
    <t>PacBio Sequel II; Omni-C</t>
  </si>
  <si>
    <r>
      <rPr>
        <u/>
        <sz val="12"/>
        <color rgb="FF000000"/>
        <rFont val="Calibri"/>
        <family val="2"/>
      </rPr>
      <t>10.1093/gbe/evab238</t>
    </r>
  </si>
  <si>
    <t>GCA_019320115.1</t>
  </si>
  <si>
    <t>GCA_019320115.1_ASM1932011v1_genomic.fna</t>
  </si>
  <si>
    <t>ASM1932011v1.fa</t>
  </si>
  <si>
    <t>ASM1932011v1</t>
  </si>
  <si>
    <t>Miscanthus floridulus</t>
  </si>
  <si>
    <t>M001</t>
  </si>
  <si>
    <t>PacBio Sequel; Illumina HiSeq</t>
  </si>
  <si>
    <r>
      <rPr>
        <u/>
        <sz val="12"/>
        <color rgb="FF000000"/>
        <rFont val="Calibri"/>
        <family val="2"/>
      </rPr>
      <t>10.1038/s41477-021-00908-y</t>
    </r>
  </si>
  <si>
    <t>GCA_904845875.1</t>
  </si>
  <si>
    <t>GCA_904845875.1_Mlu_assembly_genomic.fna</t>
  </si>
  <si>
    <t>Mlu_assembly.fa</t>
  </si>
  <si>
    <t>Mlu_assembly</t>
  </si>
  <si>
    <t>Miscanthus lutarioriparius</t>
  </si>
  <si>
    <t>https://doi.org/10.1038/s41467-021-22738-4</t>
  </si>
  <si>
    <t>GCA_002993905.1</t>
  </si>
  <si>
    <t>GCA_002993905.1_Msac_v3_genomic.fna</t>
  </si>
  <si>
    <t>Msac_v3.fa</t>
  </si>
  <si>
    <t>Msac_v3</t>
  </si>
  <si>
    <t>Miscanthus sacchariflorus</t>
  </si>
  <si>
    <t>Robustus 297</t>
  </si>
  <si>
    <t>10.12688/f1000research.44714.1</t>
  </si>
  <si>
    <t>Msinensis_497_v7.0.fa</t>
  </si>
  <si>
    <t>Msinensis_497_v7.0</t>
  </si>
  <si>
    <t>Miscanthus sinensis</t>
  </si>
  <si>
    <t>DH1_GR-2011-001</t>
  </si>
  <si>
    <t>7.0</t>
  </si>
  <si>
    <t>https://phytozome-next.jgi.doe.gov/info/Msinensis_v7_1</t>
  </si>
  <si>
    <r>
      <rPr>
        <u/>
        <sz val="12"/>
        <color rgb="FF000000"/>
        <rFont val="Calibri"/>
        <family val="2"/>
      </rPr>
      <t>https://doi.org/10.1038/s41467-020-18923-6</t>
    </r>
  </si>
  <si>
    <t>GCA_030760725.1</t>
  </si>
  <si>
    <t>GCA_030760725.1_lpNeoColu1.0.hap1_genomic.fna</t>
  </si>
  <si>
    <t>lpNeoColu1.0.hap1.fa</t>
  </si>
  <si>
    <t>lpNeoColu1.0.hap1</t>
  </si>
  <si>
    <t>Neostapfia colusana</t>
  </si>
  <si>
    <t>DT0270</t>
  </si>
  <si>
    <t>PacBio Sequel IIe; Dovetail OmniC; Illumina NovaSeq</t>
  </si>
  <si>
    <t>GCA_030760685.1</t>
  </si>
  <si>
    <t>GCA_030760685.1_lpNeoColu1.0.hap2_genomic.fna</t>
  </si>
  <si>
    <t>lpNeoColu1.0.hap2.fa</t>
  </si>
  <si>
    <t>lpNeoColu1.0.hap2</t>
  </si>
  <si>
    <t>GCA_036346145.1</t>
  </si>
  <si>
    <t>GCA_036346145.1_KIB_Olat_2_genomic.fna</t>
  </si>
  <si>
    <t>KIB_Olat_2.fa</t>
  </si>
  <si>
    <t>KIB_Olat_2</t>
  </si>
  <si>
    <t>Olyra latifolia</t>
  </si>
  <si>
    <t>genome_65046.fa</t>
  </si>
  <si>
    <t>Oropetium_capense.fa</t>
  </si>
  <si>
    <t>Oropetium_capense</t>
  </si>
  <si>
    <t>Oropetium capense</t>
  </si>
  <si>
    <t>2.1</t>
  </si>
  <si>
    <t>https://genomevolution.org/coge/GenomeInfo.pl?gid=65046</t>
  </si>
  <si>
    <r>
      <rPr>
        <u/>
        <sz val="12"/>
        <color rgb="FF000000"/>
        <rFont val="Calibri"/>
        <family val="2"/>
      </rPr>
      <t>https://doi.org/10.1111/j.1365-313X.2007.03326.x</t>
    </r>
  </si>
  <si>
    <t>GCA_001182835.1</t>
  </si>
  <si>
    <t>GCA_001182835.1_Oropetium_genomic_20141112_genomic.fna</t>
  </si>
  <si>
    <t>Oropetium_genomic_20141112.fa</t>
  </si>
  <si>
    <t>Oropetium_genomic_20141112</t>
  </si>
  <si>
    <t>Oropetium thomaeum</t>
  </si>
  <si>
    <r>
      <rPr>
        <u/>
        <sz val="12"/>
        <color rgb="FF000000"/>
        <rFont val="Calibri"/>
        <family val="2"/>
      </rPr>
      <t>10.1038/nature15714</t>
    </r>
  </si>
  <si>
    <t>GCA_019925245.2</t>
  </si>
  <si>
    <t>GCA_019925245.2_MQ-UA-ANU_Oaus-KR_2.0_genomic.fna</t>
  </si>
  <si>
    <t>MQ-UA-ANU_Oaus-KR_2.0.fa</t>
  </si>
  <si>
    <t>MQ-UA-ANU_Oaus-KR_2.0</t>
  </si>
  <si>
    <t>Oryza australiensis</t>
  </si>
  <si>
    <t>KR-Keep River_1</t>
  </si>
  <si>
    <t>Oxford Nanopore MinION</t>
  </si>
  <si>
    <t>https://doi.org/10.1038/s41598-022-14893-5</t>
  </si>
  <si>
    <t>GCA_000182155.4</t>
  </si>
  <si>
    <t>GCA_000182155.4_ObarRS3_genomic.fna</t>
  </si>
  <si>
    <t>ObarRS3.fa</t>
  </si>
  <si>
    <t>ObarRS3</t>
  </si>
  <si>
    <t>Oryza barthii</t>
  </si>
  <si>
    <t>10.1038/s41588-018-0040-0</t>
  </si>
  <si>
    <t>GCA_002926215.1</t>
  </si>
  <si>
    <t>GCA_002926215.1_LB120v1_genomic.fna</t>
  </si>
  <si>
    <t>LB120v1.fa</t>
  </si>
  <si>
    <t>LB120v1</t>
  </si>
  <si>
    <t>TB65</t>
  </si>
  <si>
    <r>
      <rPr>
        <u/>
        <sz val="12"/>
        <color rgb="FF000000"/>
        <rFont val="Calibri"/>
        <family val="2"/>
      </rPr>
      <t>10.1016/j.cub.2018.05.066</t>
    </r>
  </si>
  <si>
    <t>GCA_002926235.1</t>
  </si>
  <si>
    <t>GCA_002926235.1_TB65v1_genomic.fna</t>
  </si>
  <si>
    <t>TB65v1.fa</t>
  </si>
  <si>
    <t>TB65v1</t>
  </si>
  <si>
    <t>LB120</t>
  </si>
  <si>
    <r>
      <rPr>
        <u/>
        <sz val="12"/>
        <color rgb="FF000000"/>
        <rFont val="Calibri"/>
        <family val="2"/>
      </rPr>
      <t>10.1016/j.cub.2018.05.066</t>
    </r>
  </si>
  <si>
    <t>GCA_003020155.1</t>
  </si>
  <si>
    <t>GCA_003020155.1_B88v1_genomic.fna</t>
  </si>
  <si>
    <t>B88v1.fa</t>
  </si>
  <si>
    <t>B88v1</t>
  </si>
  <si>
    <t>B88</t>
  </si>
  <si>
    <r>
      <rPr>
        <u/>
        <sz val="12"/>
        <color rgb="FF000000"/>
        <rFont val="Calibri"/>
        <family val="2"/>
      </rPr>
      <t>10.1016/j.cub.2018.05.066</t>
    </r>
  </si>
  <si>
    <t>GCA_000231095.3</t>
  </si>
  <si>
    <t>GCA_000231095.3_ObraRS2_genomic.fna</t>
  </si>
  <si>
    <t>ObraRS2.fa</t>
  </si>
  <si>
    <t>ObraRS2</t>
  </si>
  <si>
    <t>Oryza brachyantha</t>
  </si>
  <si>
    <r>
      <rPr>
        <u/>
        <sz val="12"/>
        <color rgb="FF000000"/>
        <rFont val="Calibri"/>
        <family val="2"/>
      </rPr>
      <t>10.1038/ncomms2596</t>
    </r>
  </si>
  <si>
    <t>GCA_030770085.1</t>
  </si>
  <si>
    <t>GCA_030770085.1_ASM3077008v1_genomic.fna</t>
  </si>
  <si>
    <t>ASM3077008v1.fa</t>
  </si>
  <si>
    <t>ASM3077008v1</t>
  </si>
  <si>
    <t>Oryza coarctata</t>
  </si>
  <si>
    <t>Oco-Bangladesh</t>
  </si>
  <si>
    <r>
      <rPr>
        <u/>
        <sz val="12"/>
        <color rgb="FF000000"/>
        <rFont val="Calibri"/>
        <family val="2"/>
      </rPr>
      <t>10.1038/s41597-023-02594-1</t>
    </r>
  </si>
  <si>
    <t>GCA_009761635.1</t>
  </si>
  <si>
    <t>GCA_009761635.1_OrCoar_V1_genomic.fna</t>
  </si>
  <si>
    <t>OrCoar_V1.fa</t>
  </si>
  <si>
    <t>OrCoar_V1</t>
  </si>
  <si>
    <t>TKM-2016</t>
  </si>
  <si>
    <t>Illumina HiSeq; Oxford Nanopore</t>
  </si>
  <si>
    <r>
      <rPr>
        <u/>
        <sz val="12"/>
        <color rgb="FF000000"/>
        <rFont val="Calibri"/>
        <family val="2"/>
      </rPr>
      <t>10.1038/s41598-018-31518-y</t>
    </r>
  </si>
  <si>
    <t>GCA_021398055.1</t>
  </si>
  <si>
    <t>GCA_021398055.1_SCIS-JNU_Pcoar_1.0_genomic.fna</t>
  </si>
  <si>
    <t>SCIS-JNU_Pcoar_1.0.fa</t>
  </si>
  <si>
    <t>SCIS-JNU_Pcoar_1.0</t>
  </si>
  <si>
    <t>MJ-PcWGS01</t>
  </si>
  <si>
    <t>Illumina HiSeq; Illumina MiSeq</t>
  </si>
  <si>
    <r>
      <rPr>
        <u/>
        <sz val="12"/>
        <color rgb="FF000000"/>
        <rFont val="Calibri"/>
        <family val="2"/>
      </rPr>
      <t>10.1111/ppl.13284</t>
    </r>
  </si>
  <si>
    <t>GCA_036417745.1</t>
  </si>
  <si>
    <t>GCA_036417745.1_OcoaRS1_genomic.fna</t>
  </si>
  <si>
    <t>OcoaRS1.fa</t>
  </si>
  <si>
    <t>OcoaRS1</t>
  </si>
  <si>
    <t>Sudarban</t>
  </si>
  <si>
    <t>https://doi.org/10.1101/2024.05.29.596369</t>
  </si>
  <si>
    <t>GCA_000147395.3</t>
  </si>
  <si>
    <t>GCA_000147395.3_OglaRS2_genomic.fna</t>
  </si>
  <si>
    <t>OglaRS2.fa</t>
  </si>
  <si>
    <t>OglaRS2</t>
  </si>
  <si>
    <t>Oryza glaberrima</t>
  </si>
  <si>
    <r>
      <rPr>
        <u/>
        <sz val="12"/>
        <color rgb="FF000000"/>
        <rFont val="Calibri"/>
        <family val="2"/>
      </rPr>
      <t>10.1186/1471-2148-7-152</t>
    </r>
  </si>
  <si>
    <t>GCA_000576495.2</t>
  </si>
  <si>
    <t>GCA_000576495.2_OgluRS3_genomic.fna</t>
  </si>
  <si>
    <t>OgluRS3.fa</t>
  </si>
  <si>
    <t>OgluRS3</t>
  </si>
  <si>
    <t>Oryza glumipatula</t>
  </si>
  <si>
    <r>
      <rPr>
        <u/>
        <sz val="12"/>
        <color rgb="FF000000"/>
        <rFont val="Calibri"/>
        <family val="2"/>
      </rPr>
      <t>10.1093/plphys/kiad485</t>
    </r>
  </si>
  <si>
    <t>GCA_009805545.1</t>
  </si>
  <si>
    <t>GCA_009805545.1_ASM980554v1_genomic.fna</t>
  </si>
  <si>
    <t>ASM980554v1.fa</t>
  </si>
  <si>
    <t>ASM980554v1</t>
  </si>
  <si>
    <t>Oryza longistaminata</t>
  </si>
  <si>
    <t>w11</t>
  </si>
  <si>
    <t>Illumina HiSeq; PacBio RSII</t>
  </si>
  <si>
    <r>
      <rPr>
        <u/>
        <sz val="12"/>
        <color rgb="FF000000"/>
        <rFont val="Calibri"/>
        <family val="2"/>
      </rPr>
      <t>10.1002/tpg2.20001</t>
    </r>
  </si>
  <si>
    <t>GCA_001514335.2</t>
  </si>
  <si>
    <t>GCA_001514335.2_ASM151433v2_genomic.fna</t>
  </si>
  <si>
    <t>ASM151433v2.fa</t>
  </si>
  <si>
    <t>ASM151433v2</t>
  </si>
  <si>
    <t>RD23</t>
  </si>
  <si>
    <t>Illumina GAII; Illumina HiSeq; 454</t>
  </si>
  <si>
    <r>
      <rPr>
        <u/>
        <sz val="12"/>
        <color rgb="FF000000"/>
        <rFont val="Calibri"/>
        <family val="2"/>
      </rPr>
      <t>10.1016/j.molp.2015.08.006</t>
    </r>
  </si>
  <si>
    <t>GCA_000789195.1</t>
  </si>
  <si>
    <t>GCA_000789195.1_O_longistaminata_v1.0_genomic.fna</t>
  </si>
  <si>
    <t>O_longistaminata_v1.0.fa</t>
  </si>
  <si>
    <t>O_longistaminata_v1.0</t>
  </si>
  <si>
    <t>10.1016/j.molp.2015.08.006</t>
  </si>
  <si>
    <t>GCA_000338895.3</t>
  </si>
  <si>
    <t>GCA_000338895.3_OmerRS3_genomic.fna</t>
  </si>
  <si>
    <t>OmerRS3.fa</t>
  </si>
  <si>
    <t>OmerRS3</t>
  </si>
  <si>
    <t>Oryza meridionalis</t>
  </si>
  <si>
    <t>OR44 (W2112)</t>
  </si>
  <si>
    <t>GCA_001551795.1</t>
  </si>
  <si>
    <t>GCA_001551795.1_ASM155179v1_genomic.fna</t>
  </si>
  <si>
    <t>ASM155179v1.fa</t>
  </si>
  <si>
    <t>ASM155179v1</t>
  </si>
  <si>
    <t>Taxon B_Australia</t>
  </si>
  <si>
    <t>10.1111/pbi.12674</t>
  </si>
  <si>
    <t>GCA_003991445.1</t>
  </si>
  <si>
    <t>GCA_003991445.1_ASM399144v1_genomic.fna</t>
  </si>
  <si>
    <t>ASM399144v1.fa</t>
  </si>
  <si>
    <t>ASM399144v1</t>
  </si>
  <si>
    <t>Oryza meyeriana</t>
  </si>
  <si>
    <t>granulata_YNKM20150326</t>
  </si>
  <si>
    <t>Illumina GAII; PacBio</t>
  </si>
  <si>
    <t>10.3835/plantgenome2017.11.0097</t>
  </si>
  <si>
    <t>GCA_005223365.2</t>
  </si>
  <si>
    <t>GCA_005223365.2_ASM522336v2_genomic.fna</t>
  </si>
  <si>
    <t>ASM522336v2.fa</t>
  </si>
  <si>
    <t>ASM522336v2</t>
  </si>
  <si>
    <t>granulata_Menghai</t>
  </si>
  <si>
    <r>
      <rPr>
        <u/>
        <sz val="12"/>
        <color rgb="FF000000"/>
        <rFont val="Calibri"/>
        <family val="2"/>
      </rPr>
      <t>10.1038/s41597-020-0470-2</t>
    </r>
  </si>
  <si>
    <t>GCA_000576065.2</t>
  </si>
  <si>
    <t>GCA_000576065.2_OnivRS2_genomic.fna</t>
  </si>
  <si>
    <t>OnivRS2.fa</t>
  </si>
  <si>
    <t>OnivRS2</t>
  </si>
  <si>
    <t>Oryza nivara</t>
  </si>
  <si>
    <t>GCA_008326285.1</t>
  </si>
  <si>
    <t>GCA_008326285.1_Oryza_officinalis_v1.0_genomic.fna</t>
  </si>
  <si>
    <t>Oryza_officinalis_v1.0.fa</t>
  </si>
  <si>
    <t>Oryza_officinalis_v1.0</t>
  </si>
  <si>
    <t>Oryza officinalis</t>
  </si>
  <si>
    <t>W0002</t>
  </si>
  <si>
    <t>Illumina HiSeq2500; Pacific Bio RSII</t>
  </si>
  <si>
    <r>
      <rPr>
        <u/>
        <sz val="12"/>
        <color rgb="FF000000"/>
        <rFont val="Calibri"/>
        <family val="2"/>
      </rPr>
      <t>10.1093/gbe/evaa037</t>
    </r>
  </si>
  <si>
    <t>GCA_000573905.2</t>
  </si>
  <si>
    <t>GCA_000573905.2_OpunRS2_genomic.fna</t>
  </si>
  <si>
    <t>OpunRS2.fa</t>
  </si>
  <si>
    <t>OpunRS2</t>
  </si>
  <si>
    <t>Oryza punctata</t>
  </si>
  <si>
    <t>GCA_023541355.1</t>
  </si>
  <si>
    <t>GCA_023541355.1_O._rufipogonIRGC106523RS1_genomic.fna</t>
  </si>
  <si>
    <t>O._rufipogonIRGC106523RS1.fa</t>
  </si>
  <si>
    <t>O._rufipogonIRGC106523RS1</t>
  </si>
  <si>
    <t>Oryza rufipogon</t>
  </si>
  <si>
    <t>IRGC 106523-1</t>
  </si>
  <si>
    <t>10.1038/s41467-023-37004-y</t>
  </si>
  <si>
    <t>GCA_001551805.1</t>
  </si>
  <si>
    <t>GCA_001551805.1_ASM155180v1_genomic.fna</t>
  </si>
  <si>
    <t>ASM155180v1.fa</t>
  </si>
  <si>
    <t>ASM155180v1</t>
  </si>
  <si>
    <t>Taxon A_Australia</t>
  </si>
  <si>
    <r>
      <rPr>
        <u/>
        <sz val="12"/>
        <color rgb="FF000000"/>
        <rFont val="Calibri"/>
        <family val="2"/>
      </rPr>
      <t>10.1111/pbi.12674</t>
    </r>
  </si>
  <si>
    <t>GCA_000817225.2</t>
  </si>
  <si>
    <t>GCA_000817225.2_ASM81722v2_genomic.fna</t>
  </si>
  <si>
    <t>ASM81722v2.fa</t>
  </si>
  <si>
    <t>ASM81722v2</t>
  </si>
  <si>
    <t>W1943</t>
  </si>
  <si>
    <t>10.1038/s41588-018-0041-z</t>
  </si>
  <si>
    <t>GCA_001433935.1</t>
  </si>
  <si>
    <t>GCA_001433935.1_IRGSP-1.0_genomic.fna</t>
  </si>
  <si>
    <t>IRGSP-1.0.fa</t>
  </si>
  <si>
    <t>IRGSP-1.0</t>
  </si>
  <si>
    <t>Oryza sativa</t>
  </si>
  <si>
    <t>Japonica_Nipponbare</t>
  </si>
  <si>
    <r>
      <rPr>
        <u/>
        <sz val="12"/>
        <color rgb="FF000000"/>
        <rFont val="Calibri"/>
        <family val="2"/>
      </rPr>
      <t>10.1186/1939-8433-6-4</t>
    </r>
  </si>
  <si>
    <t>GCA_001623345.3</t>
  </si>
  <si>
    <t>GCA_001623345.3_ZS97RS3_genomic.fna</t>
  </si>
  <si>
    <t>ZS97RS3.fa</t>
  </si>
  <si>
    <t>ZS97RS3</t>
  </si>
  <si>
    <t>Indica_Zhenshan 97</t>
  </si>
  <si>
    <r>
      <rPr>
        <u/>
        <sz val="12"/>
        <color rgb="FF000000"/>
        <rFont val="Calibri"/>
        <family val="2"/>
      </rPr>
      <t>10.1038/sdata.2016.76</t>
    </r>
  </si>
  <si>
    <t>GCA_009830595.1</t>
  </si>
  <si>
    <t>GCA_009830595.1_AzucenaRS1_genomic.fna</t>
  </si>
  <si>
    <t>AzucenaRS1.fa</t>
  </si>
  <si>
    <t>AzucenaRS1</t>
  </si>
  <si>
    <t>Japonica_Azucena</t>
  </si>
  <si>
    <t>PacBio; Illumina</t>
  </si>
  <si>
    <t>10.1038/s41597-020-0438-2</t>
  </si>
  <si>
    <t>GCA_009831025.1</t>
  </si>
  <si>
    <t>GCA_009831025.1_Os132424RS1_genomic.fna</t>
  </si>
  <si>
    <t>Os132424RS1.fa</t>
  </si>
  <si>
    <t>Os132424RS1</t>
  </si>
  <si>
    <t>Indica</t>
  </si>
  <si>
    <t>GCA_009831315.1</t>
  </si>
  <si>
    <t>GCA_009831315.1_Os132278RS1_genomic.fna</t>
  </si>
  <si>
    <t>Os132278RS1.fa</t>
  </si>
  <si>
    <t>Os132278RS1</t>
  </si>
  <si>
    <t>Japonica</t>
  </si>
  <si>
    <t>GCA_036346275.1</t>
  </si>
  <si>
    <t>GCA_036346275.1_KIB_Ogla_1_genomic.fna</t>
  </si>
  <si>
    <t>KIB_Ogla_1.fa</t>
  </si>
  <si>
    <t>KIB_Ogla_1</t>
  </si>
  <si>
    <t>Otatea glauca</t>
  </si>
  <si>
    <t>GZH072</t>
  </si>
  <si>
    <t>GCA_002211085.2</t>
  </si>
  <si>
    <t>GCA_002211085.2_PHallii_v3.1_genomic.fna</t>
  </si>
  <si>
    <t>PHallii_v3.1.fa</t>
  </si>
  <si>
    <t>PHallii_v3.1</t>
  </si>
  <si>
    <t>Panicum hallii</t>
  </si>
  <si>
    <t>FIL2</t>
  </si>
  <si>
    <t>PACBIO SEQUEL; Illumina HISeq; MOLECULO</t>
  </si>
  <si>
    <t>10.1038/s41467-018-07669-x</t>
  </si>
  <si>
    <t>GCA_003061485.1</t>
  </si>
  <si>
    <t>GCA_003061485.1_PhalliiHAL_v2.1_genomic.fna</t>
  </si>
  <si>
    <t>PhalliiHAL_v2.1.fa</t>
  </si>
  <si>
    <t>PhalliiHAL_v2.1</t>
  </si>
  <si>
    <t>hallii_HAL2</t>
  </si>
  <si>
    <t>PACBIO SEQUEL; Illumina HISeq</t>
  </si>
  <si>
    <t>GCA_032594955.1</t>
  </si>
  <si>
    <t>GCA_032594955.1_BC332_genomic.fna</t>
  </si>
  <si>
    <t>BC332.fa</t>
  </si>
  <si>
    <t>BC332</t>
  </si>
  <si>
    <t>Panicum miliaceum</t>
  </si>
  <si>
    <t>10.1038/s41588-023-01571-z</t>
  </si>
  <si>
    <t>GCA_032595115.1</t>
  </si>
  <si>
    <t>GCA_032595115.1_BC477_genomic.fna</t>
  </si>
  <si>
    <t>BC477.fa</t>
  </si>
  <si>
    <t>BC477</t>
  </si>
  <si>
    <t>GCA_032595235.1</t>
  </si>
  <si>
    <t>GCA_032595235.1_BC404_genomic.fna</t>
  </si>
  <si>
    <t>BC404.fa</t>
  </si>
  <si>
    <t>BC404</t>
  </si>
  <si>
    <t>GCA_032594965.1</t>
  </si>
  <si>
    <t>GCA_032594965.1_BC382_genomic.fna</t>
  </si>
  <si>
    <t>BC382.fa</t>
  </si>
  <si>
    <t>BC382</t>
  </si>
  <si>
    <t>GCA_032594575.1</t>
  </si>
  <si>
    <t>GCA_032594575.1_BC100_genomic.fna</t>
  </si>
  <si>
    <t>BC100.fa</t>
  </si>
  <si>
    <t>BC100</t>
  </si>
  <si>
    <t>GCA_016808335.1</t>
  </si>
  <si>
    <t>GCA_016808335.1_P.virgatum_v5_genomic.fna</t>
  </si>
  <si>
    <t>P.virgatum_v5.fa</t>
  </si>
  <si>
    <t>P.virgatum_v5</t>
  </si>
  <si>
    <t>Panicum virgatum</t>
  </si>
  <si>
    <t>AP13</t>
  </si>
  <si>
    <t>PACBIO Sequel</t>
  </si>
  <si>
    <r>
      <rPr>
        <u/>
        <sz val="12"/>
        <color rgb="FF000000"/>
        <rFont val="Calibri"/>
        <family val="2"/>
      </rPr>
      <t>10.1038/s41586-020-03127-1</t>
    </r>
  </si>
  <si>
    <t>GCA_022530915.1</t>
  </si>
  <si>
    <t>GCA_022530915.1_ASM2253091v1_genomic.fna</t>
  </si>
  <si>
    <t>ASM2253091v1.fa</t>
  </si>
  <si>
    <t>ASM2253091v1</t>
  </si>
  <si>
    <t>Paspalum notatum</t>
  </si>
  <si>
    <t>China_baixicao-1</t>
  </si>
  <si>
    <t>10.1186/s12864-022-08489-6</t>
  </si>
  <si>
    <t>GCA_030272315.1</t>
  </si>
  <si>
    <t>GCA_030272315.1_ASM3027231v1_genomic.fna</t>
  </si>
  <si>
    <t>ASM3027231v1.fa</t>
  </si>
  <si>
    <t>ASM3027231v1</t>
  </si>
  <si>
    <t>Paspalum vaginatum</t>
  </si>
  <si>
    <t>SeaIsle2000</t>
  </si>
  <si>
    <t>PacBio; Illumina; 10x Genomics; Hi-C</t>
  </si>
  <si>
    <t>10.1101/2022.08.08.503172</t>
  </si>
  <si>
    <t>GCA_026573395.1</t>
  </si>
  <si>
    <t>GCA_026573395.1_P.vaginatum_v3.1_genomic.fna</t>
  </si>
  <si>
    <t>P.vaginatum_v3.1.fa</t>
  </si>
  <si>
    <t>P.vaginatum_v3.1</t>
  </si>
  <si>
    <t>10.1038/s41467-022-35507-8</t>
  </si>
  <si>
    <t>GCA_019359835.1</t>
  </si>
  <si>
    <t>GCA_019359835.1_ASM1935983v1_genomic.fna</t>
  </si>
  <si>
    <t>ASM1935983v1.fa</t>
  </si>
  <si>
    <t>ASM1935983v1</t>
  </si>
  <si>
    <t>Pharus latifolius</t>
  </si>
  <si>
    <t>CRB341</t>
  </si>
  <si>
    <r>
      <rPr>
        <u/>
        <sz val="12"/>
        <color rgb="FF000000"/>
        <rFont val="Calibri"/>
        <family val="2"/>
      </rPr>
      <t>10.1093/plcell/koab015</t>
    </r>
  </si>
  <si>
    <t>GCA_958298935.1</t>
  </si>
  <si>
    <t>GCA_958298935.1_lpPhrAust1.1_genomic.fna</t>
  </si>
  <si>
    <t>lpPhrAust1.1.fa</t>
  </si>
  <si>
    <t>lpPhrAust1.1</t>
  </si>
  <si>
    <t>Phragmites australis</t>
  </si>
  <si>
    <r>
      <rPr>
        <u/>
        <sz val="12"/>
        <color rgb="FF000000"/>
        <rFont val="Calibri"/>
        <family val="2"/>
      </rPr>
      <t>10.12688/wellcomeopenres.23143.1</t>
    </r>
  </si>
  <si>
    <t>GCA_958298975.1</t>
  </si>
  <si>
    <t>GCA_958298975.1_lpPhrAust1.1_alternate_haplotype_genomic.fna</t>
  </si>
  <si>
    <t>lpPhrAust1.1_alternate_haplotype.fa</t>
  </si>
  <si>
    <t>lpPhrAust1.1_alternate_haplotype</t>
  </si>
  <si>
    <r>
      <rPr>
        <u/>
        <sz val="12"/>
        <color rgb="FF000000"/>
        <rFont val="Calibri"/>
        <family val="2"/>
      </rPr>
      <t>10.12688/wellcomeopenres.23143.1</t>
    </r>
  </si>
  <si>
    <t>GCA_021018715.1</t>
  </si>
  <si>
    <t>GCA_021018715.1_PauV1_genomic.fna</t>
  </si>
  <si>
    <t>PauV1.fa</t>
  </si>
  <si>
    <t>PauV1</t>
  </si>
  <si>
    <t>australis_Chloroplast haplotype M_PauV1</t>
  </si>
  <si>
    <t>PacBio RS</t>
  </si>
  <si>
    <r>
      <rPr>
        <u/>
        <sz val="12"/>
        <color rgb="FF000000"/>
        <rFont val="Calibri"/>
        <family val="2"/>
      </rPr>
      <t>10.1111/mec.16293</t>
    </r>
  </si>
  <si>
    <t>GCA_036346405.1</t>
  </si>
  <si>
    <t>GCA_036346405.1_KIB_Pedu_3_genomic.fna</t>
  </si>
  <si>
    <t>KIB_Pedu_3.fa</t>
  </si>
  <si>
    <t>KIB_Pedu_3</t>
  </si>
  <si>
    <t>Phyllostachys edulis</t>
  </si>
  <si>
    <t>GZH03</t>
  </si>
  <si>
    <t>GCA_011038535.1</t>
  </si>
  <si>
    <t>GCA_011038535.1_ASM1103853v1_genomic.fna</t>
  </si>
  <si>
    <t>ASM1103853v1.fa</t>
  </si>
  <si>
    <t>ASM1103853v1</t>
  </si>
  <si>
    <t>ICBR2013</t>
  </si>
  <si>
    <r>
      <rPr>
        <u/>
        <sz val="12"/>
        <color rgb="FF000000"/>
        <rFont val="Calibri"/>
        <family val="2"/>
      </rPr>
      <t>10.1093/gigascience/giy115</t>
    </r>
  </si>
  <si>
    <t>GCA_026929855.1</t>
  </si>
  <si>
    <t>GCA_026929855.1_FRR_PoAnn_1.0_genomic.fna</t>
  </si>
  <si>
    <t>FRR_PoAnn_1.0.fa</t>
  </si>
  <si>
    <t>FRR_PoAnn_1.0</t>
  </si>
  <si>
    <t>Poa annua</t>
  </si>
  <si>
    <t>MN234</t>
  </si>
  <si>
    <r>
      <rPr>
        <u/>
        <sz val="12"/>
        <color rgb="FF000000"/>
        <rFont val="Calibri"/>
        <family val="2"/>
      </rPr>
      <t>10.1093/gbe/evac180</t>
    </r>
  </si>
  <si>
    <t>genome_65467.fa</t>
  </si>
  <si>
    <t>Poa_infirma.fa</t>
  </si>
  <si>
    <t>Poa_infirma</t>
  </si>
  <si>
    <t>Poa infirma</t>
  </si>
  <si>
    <t>https://genomevolution.org/coge/GenomeInfo.pl?gid=65467</t>
  </si>
  <si>
    <r>
      <rPr>
        <u/>
        <sz val="12"/>
        <color rgb="FF000000"/>
        <rFont val="Calibri"/>
        <family val="2"/>
      </rPr>
      <t>https://doi.org/10.1111/j.1365-313X.2007.03326.x</t>
    </r>
  </si>
  <si>
    <t>GCA_947311845.1</t>
  </si>
  <si>
    <t>GCA_947311845.1_Poa_pratensis_v1_genomic.fna</t>
  </si>
  <si>
    <t>Poa_pratensis_v1.fa</t>
  </si>
  <si>
    <t>Poa_pratensis_v1</t>
  </si>
  <si>
    <t>Poa pratensis</t>
  </si>
  <si>
    <t>PacBio SEQUEL; Bionano</t>
  </si>
  <si>
    <r>
      <rPr>
        <u/>
        <sz val="12"/>
        <color rgb="FF000000"/>
        <rFont val="Calibri"/>
        <family val="2"/>
      </rPr>
      <t>10.1093/g3journal/jkad073</t>
    </r>
  </si>
  <si>
    <t>genome_65468.fa</t>
  </si>
  <si>
    <t>Poa_supina.fa</t>
  </si>
  <si>
    <t>Poa_supina</t>
  </si>
  <si>
    <t>Poa supina</t>
  </si>
  <si>
    <t>https://genomevolution.org/coge/GenomeInfo.pl?gid=65468</t>
  </si>
  <si>
    <r>
      <rPr>
        <u/>
        <sz val="12"/>
        <color rgb="FF000000"/>
        <rFont val="Calibri"/>
        <family val="2"/>
      </rPr>
      <t>https://doi.org/10.1111/j.1365-313X.2007.03326.x</t>
    </r>
  </si>
  <si>
    <t>GCA_012064385.1</t>
  </si>
  <si>
    <t>GCA_012064385.1_Puccinellia_tenuiflora_refer_1.0_genomic.fna</t>
  </si>
  <si>
    <t>Puccinellia_tenuiflora_refer_1.0.fa</t>
  </si>
  <si>
    <t>Puccinellia_tenuiflora_refer_1.0</t>
  </si>
  <si>
    <t>Puccinellia tenuiflora</t>
  </si>
  <si>
    <t>10.1186/s12864-020-6727-5</t>
  </si>
  <si>
    <t>GCA_005191435.1</t>
  </si>
  <si>
    <t>GCA_005191435.1_ASM519143v1_genomic.fna</t>
  </si>
  <si>
    <t>ASM519143v1.fa</t>
  </si>
  <si>
    <t>ASM519143v1</t>
  </si>
  <si>
    <t>Raddia distichophylla</t>
  </si>
  <si>
    <t>Brazil_RD-2015</t>
  </si>
  <si>
    <r>
      <rPr>
        <u/>
        <sz val="12"/>
        <color rgb="FF000000"/>
        <rFont val="Calibri"/>
        <family val="2"/>
      </rPr>
      <t>10.1093/g3journal/jkaa049</t>
    </r>
  </si>
  <si>
    <t>GCA_036346415.1</t>
  </si>
  <si>
    <t>GCA_036346415.1_KIB_Rgui_2_genomic.fna</t>
  </si>
  <si>
    <t>KIB_Rgui_2.fa</t>
  </si>
  <si>
    <t>KIB_Rgui_2</t>
  </si>
  <si>
    <t>Raddia guianensis</t>
  </si>
  <si>
    <t>GCA_036346355.1</t>
  </si>
  <si>
    <t>GCA_036346355.1_KIB_Rrac_1_genomic.fna</t>
  </si>
  <si>
    <t>KIB_Rrac_1.fa</t>
  </si>
  <si>
    <t>KIB_Rrac_1</t>
  </si>
  <si>
    <t>Rhipidocladum racemiflorum</t>
  </si>
  <si>
    <t>GZH05</t>
  </si>
  <si>
    <t>GCA_020631735.1</t>
  </si>
  <si>
    <t>GCA_020631735.1_ASM2063173v1_genomic.fna</t>
  </si>
  <si>
    <t>ASM2063173v1.fa</t>
  </si>
  <si>
    <t>ASM2063173v1</t>
  </si>
  <si>
    <t>Saccharum officinarum</t>
  </si>
  <si>
    <t>LA-purple</t>
  </si>
  <si>
    <t>PacBio RSII; Illumina</t>
  </si>
  <si>
    <t>10.1186/s12864-016-2817-9</t>
  </si>
  <si>
    <t>GCA_022457205.1</t>
  </si>
  <si>
    <t>GCA_022457205.1_ASM2245720v1_genomic.fna</t>
  </si>
  <si>
    <t>ASM2245720v1.fa</t>
  </si>
  <si>
    <t>ASM2245720v1</t>
  </si>
  <si>
    <t>Saccharum spontaneum</t>
  </si>
  <si>
    <t>Np-X</t>
  </si>
  <si>
    <t>Illumina; PacBio</t>
  </si>
  <si>
    <t>GCA_003544955.1</t>
  </si>
  <si>
    <t>GCA_003544955.1_Sspon.HiC_chr_asm_genomic.fna</t>
  </si>
  <si>
    <t>Sspon.HiC_chr_asm.fa</t>
  </si>
  <si>
    <t>Sspon.HiC_chr_asm</t>
  </si>
  <si>
    <t>AP85-441</t>
  </si>
  <si>
    <t>Illumina; PacBio RSII</t>
  </si>
  <si>
    <r>
      <rPr>
        <u/>
        <sz val="12"/>
        <color rgb="FF000000"/>
        <rFont val="Calibri"/>
        <family val="2"/>
      </rPr>
      <t>10.1038/s41588-022-01084-1</t>
    </r>
  </si>
  <si>
    <t>GCA_900500655.1</t>
  </si>
  <si>
    <t>GCA_900500655.1_Sugarcane_genome_genomic.fna</t>
  </si>
  <si>
    <t>Sugarcane_genome.fa</t>
  </si>
  <si>
    <t>Sugarcane_genome</t>
  </si>
  <si>
    <t>GXS87-16</t>
  </si>
  <si>
    <t>GCA_902687465.1</t>
  </si>
  <si>
    <t>GCA_902687465.1_Rye_Lo7_2018_v1p1p1_genomic.fna</t>
  </si>
  <si>
    <t>Rye_Lo7_2018_v1p1p1.fa</t>
  </si>
  <si>
    <t>Rye_Lo7_2018_v1p1p1</t>
  </si>
  <si>
    <t>Secale cereale</t>
  </si>
  <si>
    <t>10.1038/s41588-021-00807-0</t>
  </si>
  <si>
    <t>GCA_016097815.1</t>
  </si>
  <si>
    <t>GCA_016097815.1_HAU_Weining_v1.0_genomic.fna</t>
  </si>
  <si>
    <t>HAU_Weining_v1.0.fa</t>
  </si>
  <si>
    <t>HAU_Weining_v1.0</t>
  </si>
  <si>
    <t>Weining</t>
  </si>
  <si>
    <r>
      <rPr>
        <u/>
        <sz val="12"/>
        <color rgb="FF000000"/>
        <rFont val="Calibri"/>
        <family val="2"/>
      </rPr>
      <t>10.1038/s41588-021-00808-z</t>
    </r>
  </si>
  <si>
    <t>GCA_000263155.2</t>
  </si>
  <si>
    <t>GCA_000263155.2_Setaria_italica_v2.0_genomic.fna</t>
  </si>
  <si>
    <t>Setaria_italica_v2.0.fa</t>
  </si>
  <si>
    <t>Setaria_italica_v2.0</t>
  </si>
  <si>
    <t>Setaria italica</t>
  </si>
  <si>
    <t>Yugu1</t>
  </si>
  <si>
    <t>2.0</t>
  </si>
  <si>
    <t>10.1038/nbt.2196</t>
  </si>
  <si>
    <t>GCA_001652605.1</t>
  </si>
  <si>
    <t>GCA_001652605.1_ASM165260v1_genomic.fna</t>
  </si>
  <si>
    <t>ASM165260v1.fa</t>
  </si>
  <si>
    <t>ASM165260v1</t>
  </si>
  <si>
    <t>TT8</t>
  </si>
  <si>
    <t>454; Illumina HiSeq; Illumina MiSeq</t>
  </si>
  <si>
    <t>10.1038/srep35076</t>
  </si>
  <si>
    <t>GCA_005286985.1</t>
  </si>
  <si>
    <t>GCA_005286985.1_Setaria_viridis_v2.0_genomic.fna</t>
  </si>
  <si>
    <t>Setaria_viridis_v2.0.fa</t>
  </si>
  <si>
    <t>Setaria_viridis_v2.0</t>
  </si>
  <si>
    <t>Setaria viridis</t>
  </si>
  <si>
    <t>A10</t>
  </si>
  <si>
    <r>
      <rPr>
        <u/>
        <sz val="12"/>
        <color rgb="FF000000"/>
        <rFont val="Calibri"/>
        <family val="2"/>
      </rPr>
      <t>10.1038/s41587-020-0681-2</t>
    </r>
  </si>
  <si>
    <t>GCA_012934335.1</t>
  </si>
  <si>
    <t>GCA_012934335.1_ASM1293433v1_genomic.fna</t>
  </si>
  <si>
    <t>ASM1293433v1.fa</t>
  </si>
  <si>
    <t>ASM1293433v1</t>
  </si>
  <si>
    <t>ME034v</t>
  </si>
  <si>
    <t>Oxford Nanopore MinION; Illumina</t>
  </si>
  <si>
    <r>
      <rPr>
        <u/>
        <sz val="12"/>
        <color rgb="FF000000"/>
        <rFont val="Calibri"/>
        <family val="2"/>
      </rPr>
      <t>10.1534/g3.120.401345</t>
    </r>
  </si>
  <si>
    <t>GCA_000003195.3</t>
  </si>
  <si>
    <t>GCA_000003195.3_Sorghum_bicolor_NCBIv3_genomic.fna</t>
  </si>
  <si>
    <t>Sorghum_bicolor_NCBIv3.fa</t>
  </si>
  <si>
    <t>Sorghum_bicolor_NCBIv3</t>
  </si>
  <si>
    <t>Sorghum bicolor</t>
  </si>
  <si>
    <t>BTx623</t>
  </si>
  <si>
    <t>Sanger; Illumina</t>
  </si>
  <si>
    <r>
      <rPr>
        <u/>
        <sz val="12"/>
        <color rgb="FF000000"/>
        <rFont val="Calibri"/>
        <family val="2"/>
      </rPr>
      <t>10.1038/nature07723</t>
    </r>
  </si>
  <si>
    <t>GCA_033546955.1</t>
  </si>
  <si>
    <t>GCA_033546955.1_ASM3354695v1_genomic.fna</t>
  </si>
  <si>
    <t>ASM3354695v1.fa</t>
  </si>
  <si>
    <t>ASM3354695v1</t>
  </si>
  <si>
    <t>Hongyingzi</t>
  </si>
  <si>
    <t>Oxford Nanopore PromethION; PacBio Sequel; HiC</t>
  </si>
  <si>
    <r>
      <rPr>
        <u/>
        <sz val="12"/>
        <color rgb="FF000000"/>
        <rFont val="Calibri"/>
        <family val="2"/>
      </rPr>
      <t>10.1016/j.xplc.2024.100933</t>
    </r>
  </si>
  <si>
    <t>GCA_033546975.1</t>
  </si>
  <si>
    <t>GCA_033546975.1_ASM3354697v1_genomic.fna</t>
  </si>
  <si>
    <t>ASM3354697v1.fa</t>
  </si>
  <si>
    <t>ASM3354697v1</t>
  </si>
  <si>
    <t>Huandiaonuo</t>
  </si>
  <si>
    <r>
      <rPr>
        <u/>
        <sz val="12"/>
        <color rgb="FF000000"/>
        <rFont val="Calibri"/>
        <family val="2"/>
      </rPr>
      <t>10.1016/j.xplc.2024.100933</t>
    </r>
  </si>
  <si>
    <t>GCA_903166285.1</t>
  </si>
  <si>
    <t>GCA_903166285.1_TX2783_genomic.fna</t>
  </si>
  <si>
    <t>TX2783.fa</t>
  </si>
  <si>
    <t>TX2783</t>
  </si>
  <si>
    <t>10.1093/nargab/lqae097</t>
  </si>
  <si>
    <t>GCA_947241725.1</t>
  </si>
  <si>
    <t>GCA_947241725.1_CPNAM-Leoti_genomic.fna</t>
  </si>
  <si>
    <t>CPNAM-Leoti.fa</t>
  </si>
  <si>
    <t>CPNAM-Leoti</t>
  </si>
  <si>
    <t>10.1186/s12864-019-5734-x</t>
  </si>
  <si>
    <t>GCA_008808055.3</t>
  </si>
  <si>
    <t>GCA_008808055.3_ASM880805v3_genomic.fna</t>
  </si>
  <si>
    <t>ASM880805v3.fa</t>
  </si>
  <si>
    <t>ASM880805v3</t>
  </si>
  <si>
    <t>Sporobolus alterniflorus</t>
  </si>
  <si>
    <t>RG_29706</t>
  </si>
  <si>
    <t>genome_54807.fa</t>
  </si>
  <si>
    <t>Sporobolus_pyramidalis.fa</t>
  </si>
  <si>
    <t>Sporobolus_pyramidalis</t>
  </si>
  <si>
    <t>Sporobolus pyramidalis</t>
  </si>
  <si>
    <t>https://genomevolution.org/coge/GenomeInfo.pl?gid=54807</t>
  </si>
  <si>
    <r>
      <rPr>
        <u/>
        <sz val="12"/>
        <color rgb="FF000000"/>
        <rFont val="Calibri"/>
        <family val="2"/>
      </rPr>
      <t>https://doi.org/10.1111/j.1365-313X.2007.03326.x</t>
    </r>
  </si>
  <si>
    <t>genome_54805.fa</t>
  </si>
  <si>
    <t>Sporobolus_stapfianus.fa</t>
  </si>
  <si>
    <t>Sporobolus_stapfianus</t>
  </si>
  <si>
    <t>Sporobolus stapfianus</t>
  </si>
  <si>
    <t>https://genomevolution.org/coge/GenomeInfo.pl?gid=54805</t>
  </si>
  <si>
    <r>
      <rPr>
        <u/>
        <sz val="12"/>
        <color rgb="FF000000"/>
        <rFont val="Calibri"/>
        <family val="2"/>
      </rPr>
      <t>https://doi.org/10.1111/j.1365-313X.2007.03326.x</t>
    </r>
  </si>
  <si>
    <t>GCA_019208055.1</t>
  </si>
  <si>
    <t>GCA_019208055.1_TSU_Scap_1_genomic.fna</t>
  </si>
  <si>
    <t>TSU_Scap_1.fa</t>
  </si>
  <si>
    <t>TSU_Scap_1</t>
  </si>
  <si>
    <t>Stipa capillata</t>
  </si>
  <si>
    <t>Kyrgyzstan_KRA0496240</t>
  </si>
  <si>
    <t>10.1038/s41598-021-94068-w</t>
  </si>
  <si>
    <t>GCA_020804685.1</t>
  </si>
  <si>
    <t>GCA_020804685.1_ISU_Sangustifolia_v1_genomic.fna</t>
  </si>
  <si>
    <t>ISU_Sangustifolia_v1.fa</t>
  </si>
  <si>
    <t>ISU_Sangustifolia_v1</t>
  </si>
  <si>
    <t>Streptochaeta angustifolia</t>
  </si>
  <si>
    <t>Wildtype</t>
  </si>
  <si>
    <t>Illumina; Bionano</t>
  </si>
  <si>
    <r>
      <rPr>
        <u/>
        <sz val="12"/>
        <color rgb="FF000000"/>
        <rFont val="Calibri"/>
        <family val="2"/>
      </rPr>
      <t>10.3389/fpls.2021.710383</t>
    </r>
  </si>
  <si>
    <t>GCA_018135685.1</t>
  </si>
  <si>
    <t>GCA_018135685.1_ASM1813568v1_genomic.fna</t>
  </si>
  <si>
    <t>ASM1813568v1.fa</t>
  </si>
  <si>
    <t>ASM1813568v1</t>
  </si>
  <si>
    <t>Themeda triandra</t>
  </si>
  <si>
    <t>sf006</t>
  </si>
  <si>
    <r>
      <rPr>
        <u/>
        <sz val="12"/>
        <color rgb="FF000000"/>
        <rFont val="Calibri"/>
        <family val="2"/>
      </rPr>
      <t>10.1111/mec.15614</t>
    </r>
  </si>
  <si>
    <t>GCA_025603265.1</t>
  </si>
  <si>
    <t>GCA_025603265.1_ASM2560326v1_genomic.fna</t>
  </si>
  <si>
    <t>ASM2560326v1.fa</t>
  </si>
  <si>
    <t>ASM2560326v1</t>
  </si>
  <si>
    <t>TtPh16-4</t>
  </si>
  <si>
    <r>
      <rPr>
        <u/>
        <sz val="12"/>
        <color rgb="FF000000"/>
        <rFont val="Calibri"/>
        <family val="2"/>
      </rPr>
      <t>10.1111/mec.16691</t>
    </r>
  </si>
  <si>
    <t>GCA_011799875.1</t>
  </si>
  <si>
    <t>GCA_011799875.1_ASM1179987v1_genomic.fna</t>
  </si>
  <si>
    <t>ASM1179987v1.fa</t>
  </si>
  <si>
    <t>ASM1179987v1</t>
  </si>
  <si>
    <t>Thinopyrum elongatum</t>
  </si>
  <si>
    <t>D-3458</t>
  </si>
  <si>
    <t>Illumina HiSeq; PacBio Sequel</t>
  </si>
  <si>
    <r>
      <rPr>
        <u/>
        <sz val="12"/>
        <color rgb="FF000000"/>
        <rFont val="Calibri"/>
        <family val="2"/>
      </rPr>
      <t>10.1126/science.aba5435</t>
    </r>
  </si>
  <si>
    <t>Tintermedium_770_v3.0.fa</t>
  </si>
  <si>
    <t>Tintermedium_770_v3.0</t>
  </si>
  <si>
    <t>Thinopyrum intermedium</t>
  </si>
  <si>
    <t>https://phytozome-next.jgi.doe.gov/info/Tintermedium_v3_1</t>
  </si>
  <si>
    <r>
      <rPr>
        <u/>
        <sz val="12"/>
        <color rgb="FF000000"/>
        <rFont val="Calibri"/>
        <family val="2"/>
      </rPr>
      <t>https://doi.org/10.1093/nar/gkr944</t>
    </r>
  </si>
  <si>
    <t>genome_65089.fa</t>
  </si>
  <si>
    <t>Tripogon filiformis.fa</t>
  </si>
  <si>
    <t>Tripogon filiformis</t>
  </si>
  <si>
    <t>1.2</t>
  </si>
  <si>
    <t>https://genomevolution.org/coge/GenomeInfo.pl?gid=65089</t>
  </si>
  <si>
    <r>
      <rPr>
        <u/>
        <sz val="12"/>
        <color rgb="FF000000"/>
        <rFont val="Calibri"/>
        <family val="2"/>
      </rPr>
      <t>https://doi.org/10.1111/j.1365-313X.2007.03326.x</t>
    </r>
  </si>
  <si>
    <t>Td-McKain334_5-DRAFT-PanAnd-1.0</t>
  </si>
  <si>
    <t>Tripsacum dactyloides</t>
  </si>
  <si>
    <t>McKain</t>
  </si>
  <si>
    <t>MaizeGDB</t>
  </si>
  <si>
    <t>https://maizegdb.org/genome/assembly/Td-McKain334_5-DRAFT-PanAnd-1.0</t>
  </si>
  <si>
    <t>GCA_018294505.1</t>
  </si>
  <si>
    <t>GCA_018294505.1_IWGSC_CS_RefSeq_v2.1_genomic.fna</t>
  </si>
  <si>
    <t>IWGSC_CS_RefSeq_v2.1.fa</t>
  </si>
  <si>
    <t>IWGSC_CS_RefSeq_v2.1</t>
  </si>
  <si>
    <t>Triticum aestivum</t>
  </si>
  <si>
    <t>Chinese Spring</t>
  </si>
  <si>
    <t>PacBio; Illumina HiSeq</t>
  </si>
  <si>
    <r>
      <rPr>
        <u/>
        <sz val="12"/>
        <color rgb="FF000000"/>
        <rFont val="Calibri"/>
        <family val="2"/>
      </rPr>
      <t>10.1111/tpj.15289</t>
    </r>
  </si>
  <si>
    <t>GCA_903993975.1</t>
  </si>
  <si>
    <t>GCA_903993975.1_10wheat_assembly_lancer_genomic.fna</t>
  </si>
  <si>
    <t>10wheat_assembly_lancer.fa</t>
  </si>
  <si>
    <t>10wheat_assembly_lancer</t>
  </si>
  <si>
    <t>LongReach Lancer</t>
  </si>
  <si>
    <t>10.1038/s41586-020-2961-x</t>
  </si>
  <si>
    <t>GCA_903994155.1</t>
  </si>
  <si>
    <t>GCA_903994155.1_10wheat_assembly_stanley_genomic.fna</t>
  </si>
  <si>
    <t>10wheat_assembly_stanley.fa</t>
  </si>
  <si>
    <t>10wheat_assembly_stanley</t>
  </si>
  <si>
    <t>CDC Stanley</t>
  </si>
  <si>
    <t>GCA_903993795.1</t>
  </si>
  <si>
    <t>GCA_903993795.1_10wheat_assembly_jagger_genomic.fna</t>
  </si>
  <si>
    <t>10wheat_assembly_jagger.fa</t>
  </si>
  <si>
    <t>10wheat_assembly_jagger</t>
  </si>
  <si>
    <t>Jagger</t>
  </si>
  <si>
    <t>GCA_902810655.1</t>
  </si>
  <si>
    <t>GCA_902810655.1_Triticum_aestivum_Claire_EIv1.1_genomic.fna</t>
  </si>
  <si>
    <t>Triticum_aestivum_Claire_EIv1.1.fa</t>
  </si>
  <si>
    <t>Triticum_aestivum_Claire_EIv1.1</t>
  </si>
  <si>
    <t>GCA_002162155.3</t>
  </si>
  <si>
    <t>GCA_002162155.3_WEW_v2.1_genomic.fna</t>
  </si>
  <si>
    <t>WEW_v2.1.fa</t>
  </si>
  <si>
    <t>WEW_v2.1</t>
  </si>
  <si>
    <t>Triticum dicoccoides</t>
  </si>
  <si>
    <t>Zavitan_Atlit2015</t>
  </si>
  <si>
    <r>
      <rPr>
        <u/>
        <sz val="12"/>
        <color rgb="FF000000"/>
        <rFont val="Calibri"/>
        <family val="2"/>
      </rPr>
      <t>10.1534/g3.118.200902</t>
    </r>
  </si>
  <si>
    <t>GCA_034509565.1</t>
  </si>
  <si>
    <t>GCA_034509565.1_PI306540_Tmono_genomic.fna</t>
  </si>
  <si>
    <t>PI306540_Tmono.fa</t>
  </si>
  <si>
    <t>PI306540_Tmono</t>
  </si>
  <si>
    <t>Triticum monococcum</t>
  </si>
  <si>
    <t>PI 306540</t>
  </si>
  <si>
    <r>
      <rPr>
        <u/>
        <sz val="12"/>
        <color rgb="FF000000"/>
        <rFont val="Calibri"/>
        <family val="2"/>
      </rPr>
      <t>10.1016/j.xplc.2023.100768</t>
    </r>
  </si>
  <si>
    <t>GCA_900231445.1</t>
  </si>
  <si>
    <t>GCA_900231445.1_Svevo.v1_genomic.fna</t>
  </si>
  <si>
    <t>Svevo.v1.fa</t>
  </si>
  <si>
    <t>Svevo.v1</t>
  </si>
  <si>
    <t>Triticum turgidum</t>
  </si>
  <si>
    <t>durum</t>
  </si>
  <si>
    <t>10.1038/s41588-019-0381-3</t>
  </si>
  <si>
    <t>GCA_003073215.2</t>
  </si>
  <si>
    <t>GCA_003073215.2_Tu2.1_genomic.fna</t>
  </si>
  <si>
    <t>Tu2.1.fa</t>
  </si>
  <si>
    <t>Tu2.1</t>
  </si>
  <si>
    <t>Triticum urartu</t>
  </si>
  <si>
    <t>G1812</t>
  </si>
  <si>
    <r>
      <rPr>
        <u/>
        <sz val="12"/>
        <color rgb="FF000000"/>
        <rFont val="Calibri"/>
        <family val="2"/>
      </rPr>
      <t>10.1038/s41586-018-0108-0</t>
    </r>
  </si>
  <si>
    <t>GCA_036927565.1</t>
  </si>
  <si>
    <t>GCA_036927565.1_lpTucGree1.0.hap1_genomic.fna</t>
  </si>
  <si>
    <t>lpTucGree1.0.hap1.fa</t>
  </si>
  <si>
    <t>lpTucGree1.0.hap1</t>
  </si>
  <si>
    <t>Tuctoria greenei</t>
  </si>
  <si>
    <t>TUGR.3</t>
  </si>
  <si>
    <t>PacBio Sequel IIe; Illumina NovaSeq 6000; Dovetail OmniC</t>
  </si>
  <si>
    <t>GCA_036927555.1</t>
  </si>
  <si>
    <t>GCA_036927555.1_lpTucGree1.0.hap2_genomic.fna</t>
  </si>
  <si>
    <t>lpTucGree1.0.hap2.fa</t>
  </si>
  <si>
    <t>lpTucGree1.0.hap2</t>
  </si>
  <si>
    <t>GCA_015476505.1</t>
  </si>
  <si>
    <t>GCA_015476505.1_Embrapa_Uruz_1.0_genomic.fna</t>
  </si>
  <si>
    <t>Embrapa_Uruz_1.0.fa</t>
  </si>
  <si>
    <t>Embrapa_Uruz_1.0</t>
  </si>
  <si>
    <t>Urochloa ruziziensis</t>
  </si>
  <si>
    <t>Clone 69</t>
  </si>
  <si>
    <r>
      <rPr>
        <u/>
        <sz val="12"/>
        <color rgb="FF000000"/>
        <rFont val="Calibri"/>
        <family val="2"/>
      </rPr>
      <t>https://www.alice.cnptia.embrapa.br/alice/bitstream/doc/1107378/1/abstractPAGXXVII.pdf</t>
    </r>
  </si>
  <si>
    <t>GCA_003016355.1</t>
  </si>
  <si>
    <t>GCA_003016355.1_Bruz_genomic.fna</t>
  </si>
  <si>
    <t>Bruz.fa</t>
  </si>
  <si>
    <t>Bruz</t>
  </si>
  <si>
    <t>CIAT26162</t>
  </si>
  <si>
    <r>
      <rPr>
        <u/>
        <sz val="12"/>
        <color rgb="FF000000"/>
        <rFont val="Calibri"/>
        <family val="2"/>
      </rPr>
      <t>10.1093/jxb/eraa469</t>
    </r>
  </si>
  <si>
    <t>GCA_029449295.1</t>
  </si>
  <si>
    <t>GCA_029449295.1_ASM2944929v1_genomic.fna</t>
  </si>
  <si>
    <t>ASM2944929v1.fa</t>
  </si>
  <si>
    <t>ASM2944929v1</t>
  </si>
  <si>
    <t>Zea luxurians</t>
  </si>
  <si>
    <t>PI422162</t>
  </si>
  <si>
    <r>
      <rPr>
        <u/>
        <sz val="12"/>
        <color rgb="FF000000"/>
        <rFont val="Calibri"/>
        <family val="2"/>
      </rPr>
      <t>10.1111/mpp.13319</t>
    </r>
  </si>
  <si>
    <t>GCA_902167145.1</t>
  </si>
  <si>
    <t>GCA_902167145.1_Zm-B73-REFERENCE-NAM-5.0_genomic.fna</t>
  </si>
  <si>
    <t>Zm-B73-REFERENCE-NAM-5.0.fa</t>
  </si>
  <si>
    <t>Zm-B73-REFERENCE-NAM-5.0</t>
  </si>
  <si>
    <t>Zea mays</t>
  </si>
  <si>
    <t>B73</t>
  </si>
  <si>
    <t>10.1126/science.abg5289</t>
  </si>
  <si>
    <t>GCA_022117705.1</t>
  </si>
  <si>
    <t>GCA_022117705.1_Zm-Mo17-REFERENCE-CAU-T2T-assembly_genomic.fna</t>
  </si>
  <si>
    <t>Zm-Mo17-REFERENCE-CAU-T2T-assembly.fa</t>
  </si>
  <si>
    <t>Zm-Mo17-REFERENCE-CAU-T2T-assembly</t>
  </si>
  <si>
    <t>Mo17-2021</t>
  </si>
  <si>
    <t>Oxford Nanopore PromethION; PacBio</t>
  </si>
  <si>
    <t>10.1038/s41588-023-01419-6</t>
  </si>
  <si>
    <t>GCA_902167005.1</t>
  </si>
  <si>
    <t>GCA_902167005.1_Zm-NC350-REFERENCE-NAM-1.0_genomic.fna</t>
  </si>
  <si>
    <t>Zm-NC350-REFERENCE-NAM-1.0.fa</t>
  </si>
  <si>
    <t>Zm-NC350-REFERENCE-NAM-1.0</t>
  </si>
  <si>
    <t>NC350</t>
  </si>
  <si>
    <t>GCA_902166965.1</t>
  </si>
  <si>
    <t>GCA_902166965.1_Zm-P39-REFERENCE-NAM-1.0_genomic.fna</t>
  </si>
  <si>
    <t>Zm-P39-REFERENCE-NAM-1.0.fa</t>
  </si>
  <si>
    <t>Zm-P39-REFERENCE-NAM-1.0</t>
  </si>
  <si>
    <t>P39</t>
  </si>
  <si>
    <t>GCA_902167095.1</t>
  </si>
  <si>
    <t>GCA_902167095.1_Zm-CML322-REFERENCE-NAM-1.0_genomic.fna</t>
  </si>
  <si>
    <t>Zm-CML322-REFERENCE-NAM-1.0.fa</t>
  </si>
  <si>
    <t>Zm-CML322-REFERENCE-NAM-1.0</t>
  </si>
  <si>
    <t>CML322</t>
  </si>
  <si>
    <t>GCA_002813485.1</t>
  </si>
  <si>
    <t>GCA_002813485.1_Zx-PI566673-REFERENCE-YAN-1.0_genomic.fna</t>
  </si>
  <si>
    <t>Zx-PI566673-REFERENCE-YAN-1.0.fa</t>
  </si>
  <si>
    <t>Zx-PI566673-REFERENCE-YAN-1.0</t>
  </si>
  <si>
    <t>Zea mays subsp. mexicana</t>
  </si>
  <si>
    <t>PI566673</t>
  </si>
  <si>
    <r>
      <rPr>
        <u/>
        <sz val="12"/>
        <color rgb="FF000000"/>
        <rFont val="Calibri"/>
        <family val="2"/>
      </rPr>
      <t>10.1038/s41467-017-02063-5</t>
    </r>
  </si>
  <si>
    <t>GCA_000418225.1</t>
  </si>
  <si>
    <t>GCA_000418225.1_Zizania_latifolia_v01_genomic.fna</t>
  </si>
  <si>
    <t>Zizania_latifolia_v01.fa</t>
  </si>
  <si>
    <t>Zizania_latifolia_v01</t>
  </si>
  <si>
    <t>Zizania latifolia</t>
  </si>
  <si>
    <r>
      <rPr>
        <u/>
        <sz val="12"/>
        <color rgb="FF000000"/>
        <rFont val="Calibri"/>
        <family val="2"/>
      </rPr>
      <t>https://doi.org/10.1111/tpj.12912</t>
    </r>
  </si>
  <si>
    <t>GCA_019279435.1</t>
  </si>
  <si>
    <t>GCA_019279435.1_ASM1927943v1_genomic.fna</t>
  </si>
  <si>
    <t>ASM1927943v1.fa</t>
  </si>
  <si>
    <t>ASM1927943v1</t>
  </si>
  <si>
    <t>Zizania palustris</t>
  </si>
  <si>
    <t>Itasca-C12</t>
  </si>
  <si>
    <t>https://doi.org/10.1111/tpj.15419</t>
  </si>
  <si>
    <t>GCA_001602275.1</t>
  </si>
  <si>
    <t>GCA_001602275.1_ASM160227v1_genomic.fna</t>
  </si>
  <si>
    <t>ASM160227v1.fa</t>
  </si>
  <si>
    <t>ASM160227v1</t>
  </si>
  <si>
    <t>Zoysia japonica</t>
  </si>
  <si>
    <t>Nagirizaki</t>
  </si>
  <si>
    <t>Illumina HiSeq2000; Illumina MiSeq</t>
  </si>
  <si>
    <r>
      <rPr>
        <u/>
        <sz val="12"/>
        <color rgb="FF000000"/>
        <rFont val="Calibri"/>
        <family val="2"/>
      </rPr>
      <t>10.1093/dnares/dsw006</t>
    </r>
  </si>
  <si>
    <t>GCA_001602295.1</t>
  </si>
  <si>
    <t>GCA_001602295.1_ASM160229v1_genomic.fna</t>
  </si>
  <si>
    <t>ASM160229v1.fa</t>
  </si>
  <si>
    <t>ASM160229v1</t>
  </si>
  <si>
    <t>Zoysia matrella</t>
  </si>
  <si>
    <t>Wakaba</t>
  </si>
  <si>
    <r>
      <rPr>
        <u/>
        <sz val="12"/>
        <color rgb="FF000000"/>
        <rFont val="Calibri"/>
        <family val="2"/>
      </rPr>
      <t>10.1093/dnares/dsw006</t>
    </r>
  </si>
  <si>
    <t>GCA_001602315.1</t>
  </si>
  <si>
    <t>GCA_001602315.1_ASM160231v1_genomic.fna</t>
  </si>
  <si>
    <t>ASM160231v1.fa</t>
  </si>
  <si>
    <t>ASM160231v1</t>
  </si>
  <si>
    <t>Zoysia pacifica</t>
  </si>
  <si>
    <t>Zanpa</t>
  </si>
  <si>
    <r>
      <rPr>
        <u/>
        <sz val="12"/>
        <color rgb="FF000000"/>
        <rFont val="Calibri"/>
        <family val="2"/>
      </rPr>
      <t>10.1093/dnares/dsw006</t>
    </r>
  </si>
  <si>
    <t>run_accession</t>
  </si>
  <si>
    <t>sra_accession</t>
  </si>
  <si>
    <t>note</t>
  </si>
  <si>
    <t>ERR7459061</t>
  </si>
  <si>
    <t>ERX7029762</t>
  </si>
  <si>
    <t>Aegilops_cylindrica</t>
  </si>
  <si>
    <t>Aegilops cylindrica</t>
  </si>
  <si>
    <t>AE_656-plant_4</t>
  </si>
  <si>
    <t>SRA</t>
  </si>
  <si>
    <t>10.1038/s41598-022-05865-w</t>
  </si>
  <si>
    <t>ERR7459060</t>
  </si>
  <si>
    <t>ERX7029761</t>
  </si>
  <si>
    <t>ERR7459059</t>
  </si>
  <si>
    <t>ERX7029760</t>
  </si>
  <si>
    <t>AE_656-plant_3</t>
  </si>
  <si>
    <t>ERR7459058</t>
  </si>
  <si>
    <t>ERX7029759</t>
  </si>
  <si>
    <t>ERR7459057</t>
  </si>
  <si>
    <t>ERX7029758</t>
  </si>
  <si>
    <t>ERR7459056</t>
  </si>
  <si>
    <t>ERX7029757</t>
  </si>
  <si>
    <t>ERR7459055</t>
  </si>
  <si>
    <t>ERX7029756</t>
  </si>
  <si>
    <t>AE_656-plant_2</t>
  </si>
  <si>
    <t>ERR7459054</t>
  </si>
  <si>
    <t>ERX7029755</t>
  </si>
  <si>
    <t>ERR7459053</t>
  </si>
  <si>
    <t>ERX7029754</t>
  </si>
  <si>
    <t>ERR7459052</t>
  </si>
  <si>
    <t>ERX7029753</t>
  </si>
  <si>
    <t>ERR7459051</t>
  </si>
  <si>
    <t>ERX7029752</t>
  </si>
  <si>
    <t>AE_656-plant_1</t>
  </si>
  <si>
    <t>ERR7459050</t>
  </si>
  <si>
    <t>ERX7029751</t>
  </si>
  <si>
    <t>ERR7459049</t>
  </si>
  <si>
    <t>ERX7029750</t>
  </si>
  <si>
    <t>ERR7459048</t>
  </si>
  <si>
    <t>ERX7029749</t>
  </si>
  <si>
    <t>ERR7459089</t>
  </si>
  <si>
    <t>ERX7029790</t>
  </si>
  <si>
    <t>Aegilops_markgrafii</t>
  </si>
  <si>
    <t>Aegilops markgrafii</t>
  </si>
  <si>
    <t>AE_885-plant_9</t>
  </si>
  <si>
    <t>ERR7459088</t>
  </si>
  <si>
    <t>ERX7029789</t>
  </si>
  <si>
    <t>ERR7459087</t>
  </si>
  <si>
    <t>AE_885-plant_7</t>
  </si>
  <si>
    <t>ERR7459086</t>
  </si>
  <si>
    <t>ERX7029787</t>
  </si>
  <si>
    <t>ERR7459085</t>
  </si>
  <si>
    <t>ERX7029786</t>
  </si>
  <si>
    <t>ERR7459084</t>
  </si>
  <si>
    <t>ERX7029785</t>
  </si>
  <si>
    <t>ERR7459083</t>
  </si>
  <si>
    <t>ERX7029784</t>
  </si>
  <si>
    <t>ERR7459082</t>
  </si>
  <si>
    <t>ERX7029783</t>
  </si>
  <si>
    <t>AE_885-plant_6</t>
  </si>
  <si>
    <t>ERR7459081</t>
  </si>
  <si>
    <t>ERX7029782</t>
  </si>
  <si>
    <t>ERR7459080</t>
  </si>
  <si>
    <t>ERX7029781</t>
  </si>
  <si>
    <t>ERR7459079</t>
  </si>
  <si>
    <t>ERX7029780</t>
  </si>
  <si>
    <t>AE_885-plant_5</t>
  </si>
  <si>
    <t>ERR7459078</t>
  </si>
  <si>
    <t>ERX7029779</t>
  </si>
  <si>
    <t>ERR7459077</t>
  </si>
  <si>
    <t>ERX7029778</t>
  </si>
  <si>
    <t>ERR7459076</t>
  </si>
  <si>
    <t>ERX7029777</t>
  </si>
  <si>
    <t>ERR7459075</t>
  </si>
  <si>
    <t>ERX7029776</t>
  </si>
  <si>
    <t>Aegilops_triuncialis</t>
  </si>
  <si>
    <t>Aegilops triuncialis</t>
  </si>
  <si>
    <t>AE_659-plant_5</t>
  </si>
  <si>
    <t>ERR7459074</t>
  </si>
  <si>
    <t>ERX7029775</t>
  </si>
  <si>
    <t>ERR7459073</t>
  </si>
  <si>
    <t>ERX7029774</t>
  </si>
  <si>
    <t>AE_659-plant_4</t>
  </si>
  <si>
    <t>ERR7459072</t>
  </si>
  <si>
    <t>ERX7029773</t>
  </si>
  <si>
    <t>ERR7459071</t>
  </si>
  <si>
    <t>ERX7029772</t>
  </si>
  <si>
    <t>ERR7459070</t>
  </si>
  <si>
    <t>ERX7029771</t>
  </si>
  <si>
    <t>ERR7459069</t>
  </si>
  <si>
    <t>ERX7029770</t>
  </si>
  <si>
    <t>AE_659-plant_2</t>
  </si>
  <si>
    <t>ERR7459068</t>
  </si>
  <si>
    <t>ERX7029769</t>
  </si>
  <si>
    <t>ERR7459067</t>
  </si>
  <si>
    <t>ERX7029768</t>
  </si>
  <si>
    <t>ERR7459066</t>
  </si>
  <si>
    <t>ERX7029767</t>
  </si>
  <si>
    <t>ERR7459065</t>
  </si>
  <si>
    <t>ERX7029766</t>
  </si>
  <si>
    <t>AE_659-plant_1</t>
  </si>
  <si>
    <t>ERR7459064</t>
  </si>
  <si>
    <t>ERX7029765</t>
  </si>
  <si>
    <t>ERR7459063</t>
  </si>
  <si>
    <t>ERX7029764</t>
  </si>
  <si>
    <t>ERR7459062</t>
  </si>
  <si>
    <t>ERX7029763</t>
  </si>
  <si>
    <t>ERR7747980</t>
  </si>
  <si>
    <t>ERX7316163</t>
  </si>
  <si>
    <t>Aegilops ventricosa</t>
  </si>
  <si>
    <r>
      <rPr>
        <u/>
        <sz val="12"/>
        <color rgb="FF1155CC"/>
        <rFont val="Calibri"/>
        <family val="2"/>
      </rPr>
      <t>10.1093/gigascience/giac034</t>
    </r>
  </si>
  <si>
    <t>SRR17806429</t>
  </si>
  <si>
    <t>SRX13968479</t>
  </si>
  <si>
    <t>Agropyron_cristatum</t>
  </si>
  <si>
    <t>Agropyron cristatum</t>
  </si>
  <si>
    <t>Parkway PI 415799</t>
  </si>
  <si>
    <t>10.1007/s00122-018-3148-9</t>
  </si>
  <si>
    <t>chrom 4</t>
  </si>
  <si>
    <t>SRR17806430</t>
  </si>
  <si>
    <t>SRX13968478</t>
  </si>
  <si>
    <t>chrom 3</t>
  </si>
  <si>
    <t>SRR17806431</t>
  </si>
  <si>
    <t>SRX13968477</t>
  </si>
  <si>
    <t>chrom 2</t>
  </si>
  <si>
    <t>SRR17806432</t>
  </si>
  <si>
    <t>SRX13968476</t>
  </si>
  <si>
    <t>SRR17806433</t>
  </si>
  <si>
    <t>SRX13968475</t>
  </si>
  <si>
    <t>chrom 7</t>
  </si>
  <si>
    <t>SRR17806434</t>
  </si>
  <si>
    <t>SRX13968474</t>
  </si>
  <si>
    <t>chrom 6</t>
  </si>
  <si>
    <t>SRR17806435</t>
  </si>
  <si>
    <t>SRX13968473</t>
  </si>
  <si>
    <t>SRR17806436</t>
  </si>
  <si>
    <t>SRX13968472</t>
  </si>
  <si>
    <t>chrom 5</t>
  </si>
  <si>
    <t>SRR17806437</t>
  </si>
  <si>
    <t>SRX13968471</t>
  </si>
  <si>
    <t>chrom 1</t>
  </si>
  <si>
    <t>SRR18685846</t>
  </si>
  <si>
    <t>SRX14786957</t>
  </si>
  <si>
    <t>Alloteropsis angusta</t>
  </si>
  <si>
    <r>
      <rPr>
        <u/>
        <sz val="12"/>
        <color rgb="FF1155CC"/>
        <rFont val="Calibri"/>
        <family val="2"/>
      </rPr>
      <t>10.1111/nph.19272</t>
    </r>
  </si>
  <si>
    <t>SRR7529015</t>
  </si>
  <si>
    <t>SRX4397328</t>
  </si>
  <si>
    <t>Alloteropsis_cimicina</t>
  </si>
  <si>
    <t>Alloteropsis cimicina</t>
  </si>
  <si>
    <r>
      <rPr>
        <u/>
        <sz val="12"/>
        <color rgb="FF1155CC"/>
        <rFont val="Calibri"/>
        <family val="2"/>
      </rPr>
      <t>10.1111/ele.12484</t>
    </r>
  </si>
  <si>
    <t>SRR4051979</t>
  </si>
  <si>
    <t>SRX2041540</t>
  </si>
  <si>
    <t>RCH20</t>
  </si>
  <si>
    <r>
      <rPr>
        <u/>
        <sz val="12"/>
        <color rgb="FF1155CC"/>
        <rFont val="Calibri"/>
        <family val="2"/>
      </rPr>
      <t>10.1111/ele.12484</t>
    </r>
  </si>
  <si>
    <t>SRR17037945</t>
  </si>
  <si>
    <t>SRX13227832</t>
  </si>
  <si>
    <t>Amblyopyrum muticum</t>
  </si>
  <si>
    <r>
      <rPr>
        <u/>
        <sz val="12"/>
        <color rgb="FF1155CC"/>
        <rFont val="Calibri"/>
        <family val="2"/>
      </rPr>
      <t>10.1111/pbi.12606</t>
    </r>
  </si>
  <si>
    <t>SRR6056491</t>
  </si>
  <si>
    <t>SRX3203310</t>
  </si>
  <si>
    <t>Avena brevis</t>
  </si>
  <si>
    <t>10.1186/s12870-019-1769-z</t>
  </si>
  <si>
    <t>SRR9933141</t>
  </si>
  <si>
    <t>SRX6682505</t>
  </si>
  <si>
    <t>Avena_agadiriana</t>
  </si>
  <si>
    <t>Avena agadiriana</t>
  </si>
  <si>
    <t>PI 65787</t>
  </si>
  <si>
    <t>other_shortread</t>
  </si>
  <si>
    <t>10.1186/s12915-019-0712-y</t>
  </si>
  <si>
    <t>SRR9933173</t>
  </si>
  <si>
    <t>SRX6682473</t>
  </si>
  <si>
    <t>PI 65789</t>
  </si>
  <si>
    <t>SRR9933185</t>
  </si>
  <si>
    <t>SRX6682461</t>
  </si>
  <si>
    <t>PI 65788</t>
  </si>
  <si>
    <t>SRR9933127</t>
  </si>
  <si>
    <t>SRX6682519</t>
  </si>
  <si>
    <t>Avena_canariensis</t>
  </si>
  <si>
    <t>Avena canariensis</t>
  </si>
  <si>
    <t>CN 25449</t>
  </si>
  <si>
    <t>SRR9933142</t>
  </si>
  <si>
    <t>SRX6682504</t>
  </si>
  <si>
    <t>CN 23029</t>
  </si>
  <si>
    <t>SRR9933144</t>
  </si>
  <si>
    <t>SRX6682502</t>
  </si>
  <si>
    <t>CN 23032</t>
  </si>
  <si>
    <t>SRR9933174</t>
  </si>
  <si>
    <t>SRX6682472</t>
  </si>
  <si>
    <t>Avena_clauda</t>
  </si>
  <si>
    <t>Avena clauda</t>
  </si>
  <si>
    <t>CN 24040</t>
  </si>
  <si>
    <t>SRR9933177</t>
  </si>
  <si>
    <t>SRX6682469</t>
  </si>
  <si>
    <t>CN 19238</t>
  </si>
  <si>
    <t>SRR9933139</t>
  </si>
  <si>
    <t>SRX6682507</t>
  </si>
  <si>
    <t>Avena_damascena</t>
  </si>
  <si>
    <t>Avena damascena</t>
  </si>
  <si>
    <t>CN 19457</t>
  </si>
  <si>
    <t>SRR9933140</t>
  </si>
  <si>
    <t>SRX6682506</t>
  </si>
  <si>
    <t>PI 657458</t>
  </si>
  <si>
    <t>SRR9933145</t>
  </si>
  <si>
    <t>SRX6682501</t>
  </si>
  <si>
    <t>PI 657472</t>
  </si>
  <si>
    <t>SRR9933186</t>
  </si>
  <si>
    <t>SRX6682460</t>
  </si>
  <si>
    <t>PI 657471</t>
  </si>
  <si>
    <t>SRR9933189</t>
  </si>
  <si>
    <t>SRX6682457</t>
  </si>
  <si>
    <t>CN 19459</t>
  </si>
  <si>
    <t>SRR9933149</t>
  </si>
  <si>
    <t>SRX6682497</t>
  </si>
  <si>
    <t>Avena_hirtula</t>
  </si>
  <si>
    <t>Avena hirtula</t>
  </si>
  <si>
    <t>CN 21478</t>
  </si>
  <si>
    <t>SRR9933150</t>
  </si>
  <si>
    <t>SRX6682496</t>
  </si>
  <si>
    <t>CN 21653</t>
  </si>
  <si>
    <t>SRR9933151</t>
  </si>
  <si>
    <t>SRX6682495</t>
  </si>
  <si>
    <t>CN 19731</t>
  </si>
  <si>
    <t>SRR9933152</t>
  </si>
  <si>
    <t>SRX6682494</t>
  </si>
  <si>
    <t>CN 19530</t>
  </si>
  <si>
    <t>SRR9933155</t>
  </si>
  <si>
    <t>SRX6682491</t>
  </si>
  <si>
    <t>CN 22965</t>
  </si>
  <si>
    <t>SRR9933146</t>
  </si>
  <si>
    <t>SRX6682500</t>
  </si>
  <si>
    <t>Avena_lusitanica</t>
  </si>
  <si>
    <t>Avena lusitanica</t>
  </si>
  <si>
    <t>CN 25843</t>
  </si>
  <si>
    <t>SRR9933153</t>
  </si>
  <si>
    <t>SRX6682493</t>
  </si>
  <si>
    <t>CN 25777</t>
  </si>
  <si>
    <t>SRR9933154</t>
  </si>
  <si>
    <t>SRX6682492</t>
  </si>
  <si>
    <t>CN 25807</t>
  </si>
  <si>
    <t>SRR9933156</t>
  </si>
  <si>
    <t>SRX6682490</t>
  </si>
  <si>
    <t>CN 25414</t>
  </si>
  <si>
    <t>SRR14914973</t>
  </si>
  <si>
    <t>SRX11229379</t>
  </si>
  <si>
    <t>Avena ventricosa</t>
  </si>
  <si>
    <t>CN 21405</t>
  </si>
  <si>
    <t>Unknown</t>
  </si>
  <si>
    <t>SRR9933123</t>
  </si>
  <si>
    <t>SRX6682523</t>
  </si>
  <si>
    <t>Avena_wiestii</t>
  </si>
  <si>
    <t>Avena wiestii</t>
  </si>
  <si>
    <t>Clav 1994</t>
  </si>
  <si>
    <t>SRR9933124</t>
  </si>
  <si>
    <t>SRX6682522</t>
  </si>
  <si>
    <t>CN 19348</t>
  </si>
  <si>
    <t>SRR9933125</t>
  </si>
  <si>
    <t>SRX6682521</t>
  </si>
  <si>
    <t>CN 24352</t>
  </si>
  <si>
    <t>SRR9933147</t>
  </si>
  <si>
    <t>SRX6682499</t>
  </si>
  <si>
    <t>CN 19342</t>
  </si>
  <si>
    <t>SRR6958059</t>
  </si>
  <si>
    <t>SRX3901016</t>
  </si>
  <si>
    <t>Chimonobambusa_convoluta</t>
  </si>
  <si>
    <t>Chimonobambusa convoluta</t>
  </si>
  <si>
    <r>
      <rPr>
        <u/>
        <sz val="12"/>
        <color rgb="FF1155CC"/>
        <rFont val="Calibri"/>
        <family val="2"/>
      </rPr>
      <t>10.3329/bjb.v50i1.52673</t>
    </r>
  </si>
  <si>
    <t>SRR6958060</t>
  </si>
  <si>
    <t>SRX3901015</t>
  </si>
  <si>
    <r>
      <rPr>
        <u/>
        <sz val="12"/>
        <color rgb="FF1155CC"/>
        <rFont val="Calibri"/>
        <family val="2"/>
      </rPr>
      <t>10.3329/bjb.v50i1.52673</t>
    </r>
  </si>
  <si>
    <t>SRR8208363</t>
  </si>
  <si>
    <t>SRX5027551</t>
  </si>
  <si>
    <t>Cleistogenes squarrosa</t>
  </si>
  <si>
    <t>SRR17970575</t>
  </si>
  <si>
    <t>SRX14126892</t>
  </si>
  <si>
    <t>Cynodon_dactylon</t>
  </si>
  <si>
    <t>Cynodon dactylon</t>
  </si>
  <si>
    <r>
      <rPr>
        <u/>
        <sz val="12"/>
        <color rgb="FF1155CC"/>
        <rFont val="Calibri"/>
        <family val="2"/>
      </rPr>
      <t>10.1111/tpj.16729</t>
    </r>
  </si>
  <si>
    <t>SRR17970586</t>
  </si>
  <si>
    <t>SRX14126881</t>
  </si>
  <si>
    <r>
      <rPr>
        <u/>
        <sz val="12"/>
        <color rgb="FF1155CC"/>
        <rFont val="Calibri"/>
        <family val="2"/>
      </rPr>
      <t>10.1111/tpj.16729</t>
    </r>
  </si>
  <si>
    <t>SRR17970587</t>
  </si>
  <si>
    <t>SRX14126880</t>
  </si>
  <si>
    <r>
      <rPr>
        <u/>
        <sz val="12"/>
        <color rgb="FF1155CC"/>
        <rFont val="Calibri"/>
        <family val="2"/>
      </rPr>
      <t>10.1111/tpj.16729</t>
    </r>
  </si>
  <si>
    <t>SRR1158316</t>
  </si>
  <si>
    <t>SRX465632</t>
  </si>
  <si>
    <t>Deschampsia antarctica</t>
  </si>
  <si>
    <r>
      <rPr>
        <u/>
        <sz val="12"/>
        <color rgb="FF1155CC"/>
        <rFont val="Calibri"/>
        <family val="2"/>
      </rPr>
      <t>10.1371/journal.pone.0092501</t>
    </r>
  </si>
  <si>
    <t>SRR15050624</t>
  </si>
  <si>
    <t xml:space="preserve">SRX11361047 </t>
  </si>
  <si>
    <t>Dinebra_chinensis</t>
  </si>
  <si>
    <t>Dinebra chinensis</t>
  </si>
  <si>
    <t>LC16005</t>
  </si>
  <si>
    <t>10.1016/j.molp.2022.05.001</t>
  </si>
  <si>
    <t>SRR8208366</t>
  </si>
  <si>
    <t>SRX5027548</t>
  </si>
  <si>
    <t>Leymus chinensis</t>
  </si>
  <si>
    <t>SRR12558616</t>
  </si>
  <si>
    <t>SRX9047118</t>
  </si>
  <si>
    <t>Lolium_arundinaceum</t>
  </si>
  <si>
    <t>Lolium arundinaceum</t>
  </si>
  <si>
    <t>Talamantes et al., in preparation</t>
  </si>
  <si>
    <t>SRR12558617</t>
  </si>
  <si>
    <t>SRX9047117</t>
  </si>
  <si>
    <t>SRR12558618</t>
  </si>
  <si>
    <t>SRX9047116</t>
  </si>
  <si>
    <t>SRR12558619</t>
  </si>
  <si>
    <t>SRX9047115</t>
  </si>
  <si>
    <t>SRR12558620</t>
  </si>
  <si>
    <t>SRX9047114</t>
  </si>
  <si>
    <t>SRR12558621</t>
  </si>
  <si>
    <t>SRX9047113</t>
  </si>
  <si>
    <t>SRR12558622</t>
  </si>
  <si>
    <t>SRX9047112</t>
  </si>
  <si>
    <t>SRR12558623</t>
  </si>
  <si>
    <t>SRX9047111</t>
  </si>
  <si>
    <t>SRR12558624</t>
  </si>
  <si>
    <t>SRX9047110</t>
  </si>
  <si>
    <t>SRR12558625</t>
  </si>
  <si>
    <t>SRX9047109</t>
  </si>
  <si>
    <t>SRR12558626</t>
  </si>
  <si>
    <t>SRX9047108</t>
  </si>
  <si>
    <t>SRR12558627</t>
  </si>
  <si>
    <t>SRX9047107</t>
  </si>
  <si>
    <t>SRR12558628</t>
  </si>
  <si>
    <t>SRX9047106</t>
  </si>
  <si>
    <t>SRR12558629</t>
  </si>
  <si>
    <t>SRX9047105</t>
  </si>
  <si>
    <t>SRR12558630</t>
  </si>
  <si>
    <t>SRX9047104</t>
  </si>
  <si>
    <t>SRR12558631</t>
  </si>
  <si>
    <t>SRX9047103</t>
  </si>
  <si>
    <t>SRR12558632</t>
  </si>
  <si>
    <t>SRX9047102</t>
  </si>
  <si>
    <t>SRR12702019</t>
  </si>
  <si>
    <t>SRX9181465</t>
  </si>
  <si>
    <t>Oryza_grandiglumis</t>
  </si>
  <si>
    <t>Oryza grandiglumis</t>
  </si>
  <si>
    <r>
      <rPr>
        <u/>
        <sz val="12"/>
        <color rgb="FF1155CC"/>
        <rFont val="Calibri"/>
        <family val="2"/>
      </rPr>
      <t>10.1186/s12864-016-2734-y</t>
    </r>
  </si>
  <si>
    <t>SRR12702020</t>
  </si>
  <si>
    <t>SRX9181464</t>
  </si>
  <si>
    <r>
      <rPr>
        <u/>
        <sz val="12"/>
        <color rgb="FF1155CC"/>
        <rFont val="Calibri"/>
        <family val="2"/>
      </rPr>
      <t>10.1186/s12864-016-2734-y</t>
    </r>
  </si>
  <si>
    <t>SRR12702021</t>
  </si>
  <si>
    <t>SRX9181463</t>
  </si>
  <si>
    <r>
      <rPr>
        <u/>
        <sz val="12"/>
        <color rgb="FF1155CC"/>
        <rFont val="Calibri"/>
        <family val="2"/>
      </rPr>
      <t>10.1186/s12864-016-2734-y</t>
    </r>
  </si>
  <si>
    <t>SRR12702016</t>
  </si>
  <si>
    <t>SRX9181468</t>
  </si>
  <si>
    <t>Oryza_latifolia</t>
  </si>
  <si>
    <t>Oryza latifolia</t>
  </si>
  <si>
    <r>
      <rPr>
        <u/>
        <sz val="12"/>
        <color rgb="FF1155CC"/>
        <rFont val="Calibri"/>
        <family val="2"/>
      </rPr>
      <t>10.1186/s12864-016-2734-y</t>
    </r>
  </si>
  <si>
    <t>SRR12702017</t>
  </si>
  <si>
    <t>SRX9181467</t>
  </si>
  <si>
    <r>
      <rPr>
        <u/>
        <sz val="12"/>
        <color rgb="FF1155CC"/>
        <rFont val="Calibri"/>
        <family val="2"/>
      </rPr>
      <t>10.1186/s12864-016-2734-y</t>
    </r>
  </si>
  <si>
    <t>SRR12702018</t>
  </si>
  <si>
    <t>SRX9181466</t>
  </si>
  <si>
    <r>
      <rPr>
        <u/>
        <sz val="12"/>
        <color rgb="FF1155CC"/>
        <rFont val="Calibri"/>
        <family val="2"/>
      </rPr>
      <t>10.1186/s12864-016-2734-y</t>
    </r>
  </si>
  <si>
    <t>SRR11593159</t>
  </si>
  <si>
    <t>SRX8159996</t>
  </si>
  <si>
    <t>IRGC100161</t>
  </si>
  <si>
    <t xml:space="preserve"> 10.1016/j.cell.2021.01.013</t>
  </si>
  <si>
    <t>SRR12702013</t>
  </si>
  <si>
    <t>SRX9181471</t>
  </si>
  <si>
    <t>Oryza_longiglumis</t>
  </si>
  <si>
    <t>Oryza longiglumis</t>
  </si>
  <si>
    <r>
      <rPr>
        <u/>
        <sz val="12"/>
        <color rgb="FF1155CC"/>
        <rFont val="Calibri"/>
        <family val="2"/>
      </rPr>
      <t>10.1186/s12864-016-2734-y</t>
    </r>
  </si>
  <si>
    <t>SRR12702015</t>
  </si>
  <si>
    <t>SRX9181469</t>
  </si>
  <si>
    <r>
      <rPr>
        <u/>
        <sz val="12"/>
        <color rgb="FF1155CC"/>
        <rFont val="Calibri"/>
        <family val="2"/>
      </rPr>
      <t>10.1186/s12864-016-2734-y</t>
    </r>
  </si>
  <si>
    <t>SRR12702008</t>
  </si>
  <si>
    <t>SRX9181476</t>
  </si>
  <si>
    <t>Oryza_malampuzhaensis</t>
  </si>
  <si>
    <t>Oryza malampuzhaensis</t>
  </si>
  <si>
    <r>
      <rPr>
        <u/>
        <sz val="12"/>
        <color rgb="FF1155CC"/>
        <rFont val="Calibri"/>
        <family val="2"/>
      </rPr>
      <t>10.1186/s12864-016-2734-y</t>
    </r>
  </si>
  <si>
    <t>SRR12702009</t>
  </si>
  <si>
    <t>SRX9181475</t>
  </si>
  <si>
    <r>
      <rPr>
        <u/>
        <sz val="12"/>
        <color rgb="FF1155CC"/>
        <rFont val="Calibri"/>
        <family val="2"/>
      </rPr>
      <t>10.1186/s12864-016-2734-y</t>
    </r>
  </si>
  <si>
    <t>SRR12702010</t>
  </si>
  <si>
    <t>SRX9181474</t>
  </si>
  <si>
    <r>
      <rPr>
        <u/>
        <sz val="12"/>
        <color rgb="FF1155CC"/>
        <rFont val="Calibri"/>
        <family val="2"/>
      </rPr>
      <t>10.1186/s12864-016-2734-y</t>
    </r>
  </si>
  <si>
    <t>SRR19025797</t>
  </si>
  <si>
    <t>SRX15097577</t>
  </si>
  <si>
    <t>Oryza_rhizomatis</t>
  </si>
  <si>
    <t>Oryza rhizomatis</t>
  </si>
  <si>
    <r>
      <rPr>
        <u/>
        <sz val="12"/>
        <color rgb="FF1155CC"/>
        <rFont val="Calibri"/>
        <family val="2"/>
      </rPr>
      <t>10.3389/fpls.2022.921937</t>
    </r>
  </si>
  <si>
    <t>SRR19025798</t>
  </si>
  <si>
    <t>SRX15097576</t>
  </si>
  <si>
    <r>
      <rPr>
        <u/>
        <sz val="12"/>
        <color rgb="FF1155CC"/>
        <rFont val="Calibri"/>
        <family val="2"/>
      </rPr>
      <t>10.3389/fpls.2022.921937</t>
    </r>
  </si>
  <si>
    <t>SRR12701997</t>
  </si>
  <si>
    <t>SRX9181487</t>
  </si>
  <si>
    <r>
      <rPr>
        <u/>
        <sz val="12"/>
        <color rgb="FF1155CC"/>
        <rFont val="Calibri"/>
        <family val="2"/>
      </rPr>
      <t>10.1186/s12864-016-2734-y</t>
    </r>
  </si>
  <si>
    <t>SRR12701998</t>
  </si>
  <si>
    <t>SRX9181486</t>
  </si>
  <si>
    <r>
      <rPr>
        <u/>
        <sz val="12"/>
        <color rgb="FF1155CC"/>
        <rFont val="Calibri"/>
        <family val="2"/>
      </rPr>
      <t>10.1186/s12864-016-2734-y</t>
    </r>
  </si>
  <si>
    <t>SRR12701999</t>
  </si>
  <si>
    <t>SRX9181485</t>
  </si>
  <si>
    <r>
      <rPr>
        <u/>
        <sz val="12"/>
        <color rgb="FF1155CC"/>
        <rFont val="Calibri"/>
        <family val="2"/>
      </rPr>
      <t>10.1186/s12864-016-2734-y</t>
    </r>
  </si>
  <si>
    <t>SRR17574371</t>
  </si>
  <si>
    <t>SRX13743578</t>
  </si>
  <si>
    <t>Phragmites_karka</t>
  </si>
  <si>
    <t>Phragmites karka</t>
  </si>
  <si>
    <t>SRR17574372</t>
  </si>
  <si>
    <t>SRX13743577</t>
  </si>
  <si>
    <t>SRR18367044</t>
  </si>
  <si>
    <t>SRX14501502</t>
  </si>
  <si>
    <t>Phyllostachys_bambusoides</t>
  </si>
  <si>
    <t>Phyllostachys bambusoides</t>
  </si>
  <si>
    <t>Holochrysa</t>
  </si>
  <si>
    <r>
      <rPr>
        <u/>
        <sz val="12"/>
        <color rgb="FF1155CC"/>
        <rFont val="Calibri"/>
        <family val="2"/>
      </rPr>
      <t>10.3389/fpls.2022.935751</t>
    </r>
  </si>
  <si>
    <t>SRR18367064</t>
  </si>
  <si>
    <t>SRX14501482</t>
  </si>
  <si>
    <r>
      <rPr>
        <u/>
        <sz val="12"/>
        <color rgb="FF1155CC"/>
        <rFont val="Calibri"/>
        <family val="2"/>
      </rPr>
      <t>10.3389/fpls.2022.935751</t>
    </r>
  </si>
  <si>
    <t>SRR18367065</t>
  </si>
  <si>
    <t>SRX14501481</t>
  </si>
  <si>
    <t>Castillonis</t>
  </si>
  <si>
    <r>
      <rPr>
        <u/>
        <sz val="12"/>
        <color rgb="FF1155CC"/>
        <rFont val="Calibri"/>
        <family val="2"/>
      </rPr>
      <t>10.3389/fpls.2022.935751</t>
    </r>
  </si>
  <si>
    <t>SRR18367042</t>
  </si>
  <si>
    <t>SRX14501504</t>
  </si>
  <si>
    <t>Phyllostachys dulcis</t>
  </si>
  <si>
    <r>
      <rPr>
        <u/>
        <sz val="12"/>
        <color rgb="FF1155CC"/>
        <rFont val="Calibri"/>
        <family val="2"/>
      </rPr>
      <t>10.3389/fpls.2022.935751</t>
    </r>
  </si>
  <si>
    <t>SRR15826808</t>
  </si>
  <si>
    <t>SRX12118770</t>
  </si>
  <si>
    <t>Phyllostachys_heteroclada</t>
  </si>
  <si>
    <t>Phyllostachys heteroclada</t>
  </si>
  <si>
    <t>SRR12117915</t>
  </si>
  <si>
    <t>SRX8639649</t>
  </si>
  <si>
    <r>
      <rPr>
        <u/>
        <sz val="12"/>
        <color rgb="FF1155CC"/>
        <rFont val="Calibri"/>
        <family val="2"/>
      </rPr>
      <t>10.3390/f11121331</t>
    </r>
  </si>
  <si>
    <t>SRR12113912</t>
  </si>
  <si>
    <t>SRX8636415</t>
  </si>
  <si>
    <t>Phyllostachys nidularia</t>
  </si>
  <si>
    <r>
      <rPr>
        <u/>
        <sz val="12"/>
        <color rgb="FF1155CC"/>
        <rFont val="Calibri"/>
        <family val="2"/>
      </rPr>
      <t>10.3390/f11121331</t>
    </r>
  </si>
  <si>
    <t>SRR18367041</t>
  </si>
  <si>
    <t>SRX14501505</t>
  </si>
  <si>
    <t>Phyllostachys_nigra</t>
  </si>
  <si>
    <t>Phyllostachys nigra</t>
  </si>
  <si>
    <t>Henonis</t>
  </si>
  <si>
    <r>
      <rPr>
        <u/>
        <sz val="12"/>
        <color rgb="FF1155CC"/>
        <rFont val="Calibri"/>
        <family val="2"/>
      </rPr>
      <t>10.3389/fpls.2022.935751</t>
    </r>
  </si>
  <si>
    <t>SRR18367043</t>
  </si>
  <si>
    <t>SRX14501503</t>
  </si>
  <si>
    <t>Boryana</t>
  </si>
  <si>
    <r>
      <rPr>
        <u/>
        <sz val="12"/>
        <color rgb="FF1155CC"/>
        <rFont val="Calibri"/>
        <family val="2"/>
      </rPr>
      <t>10.3389/fpls.2022.935751</t>
    </r>
  </si>
  <si>
    <t>SRR18367053</t>
  </si>
  <si>
    <t>SRX14501493</t>
  </si>
  <si>
    <t>Phyllostachys viridiglaucescens</t>
  </si>
  <si>
    <r>
      <rPr>
        <u/>
        <sz val="12"/>
        <color rgb="FF1155CC"/>
        <rFont val="Calibri"/>
        <family val="2"/>
      </rPr>
      <t>10.3389/fpls.2022.935751</t>
    </r>
  </si>
  <si>
    <t>SRR20072574</t>
  </si>
  <si>
    <t>SRX16110601</t>
  </si>
  <si>
    <t>Saccharum fulvum</t>
  </si>
  <si>
    <r>
      <rPr>
        <u/>
        <sz val="12"/>
        <color rgb="FF1155CC"/>
        <rFont val="Calibri"/>
        <family val="2"/>
      </rPr>
      <t>10.1016/j.xplc.2023.100562</t>
    </r>
  </si>
  <si>
    <t>SRR12113330</t>
  </si>
  <si>
    <t>SRX8635836</t>
  </si>
  <si>
    <t>Schizostachyum dumetorum</t>
  </si>
  <si>
    <r>
      <rPr>
        <u/>
        <sz val="12"/>
        <color rgb="FF1155CC"/>
        <rFont val="Calibri"/>
        <family val="2"/>
      </rPr>
      <t>10.3390/f11121331</t>
    </r>
  </si>
  <si>
    <t>SRR13484478</t>
  </si>
  <si>
    <t>SRX9897111</t>
  </si>
  <si>
    <t>Sorghum_brachypodum</t>
  </si>
  <si>
    <t>Sorghum brachypodum</t>
  </si>
  <si>
    <r>
      <rPr>
        <u/>
        <sz val="12"/>
        <color rgb="FF1155CC"/>
        <rFont val="Calibri"/>
        <family val="2"/>
      </rPr>
      <t>10.1002/tpg2.20123</t>
    </r>
  </si>
  <si>
    <t>SRR13484479</t>
  </si>
  <si>
    <t>SRX9897110</t>
  </si>
  <si>
    <r>
      <rPr>
        <u/>
        <sz val="12"/>
        <color rgb="FF1155CC"/>
        <rFont val="Calibri"/>
        <family val="2"/>
      </rPr>
      <t>10.1002/tpg2.20123</t>
    </r>
  </si>
  <si>
    <t>ERR6351826</t>
  </si>
  <si>
    <t>ERX5983401</t>
  </si>
  <si>
    <t>Sorghum_halepense</t>
  </si>
  <si>
    <t>Sorghum halepense</t>
  </si>
  <si>
    <t>US</t>
  </si>
  <si>
    <r>
      <rPr>
        <u/>
        <sz val="12"/>
        <color rgb="FF1155CC"/>
        <rFont val="Calibri"/>
        <family val="2"/>
      </rPr>
      <t>10.3389/fpls.2021.729734</t>
    </r>
  </si>
  <si>
    <t>ERR6351825</t>
  </si>
  <si>
    <t>ERX5983400</t>
  </si>
  <si>
    <t>TT</t>
  </si>
  <si>
    <r>
      <rPr>
        <u/>
        <sz val="12"/>
        <color rgb="FF1155CC"/>
        <rFont val="Calibri"/>
        <family val="2"/>
      </rPr>
      <t>10.3389/fpls.2021.729734</t>
    </r>
  </si>
  <si>
    <t>SRR12142313</t>
  </si>
  <si>
    <t>SRX8663387</t>
  </si>
  <si>
    <t>SRR12142314</t>
  </si>
  <si>
    <t>SRX8663386</t>
  </si>
  <si>
    <t>SRR12142315</t>
  </si>
  <si>
    <t>SRX8663385</t>
  </si>
  <si>
    <t>SRR486216</t>
  </si>
  <si>
    <t>SRX142088</t>
  </si>
  <si>
    <r>
      <rPr>
        <u/>
        <sz val="12"/>
        <color rgb="FF1155CC"/>
        <rFont val="Calibri"/>
        <family val="2"/>
      </rPr>
      <t>10.3389/fgene.2020.00317</t>
    </r>
  </si>
  <si>
    <t>SRR13484476</t>
  </si>
  <si>
    <t>SRX9897113</t>
  </si>
  <si>
    <t>Sorghum_leiocladum</t>
  </si>
  <si>
    <t>Sorghum leiocladum</t>
  </si>
  <si>
    <t>10.1002/tpg2.20123</t>
  </si>
  <si>
    <t>SRR13484490</t>
  </si>
  <si>
    <t>SRX9897099</t>
  </si>
  <si>
    <t>SRR13484482</t>
  </si>
  <si>
    <t>SRX9897107</t>
  </si>
  <si>
    <t>Sorghum_purpureosericeum</t>
  </si>
  <si>
    <t>Sorghum purpureosericeum</t>
  </si>
  <si>
    <r>
      <rPr>
        <u/>
        <sz val="12"/>
        <color rgb="FF1155CC"/>
        <rFont val="Calibri"/>
        <family val="2"/>
      </rPr>
      <t>10.1002/tpg2.20123</t>
    </r>
  </si>
  <si>
    <t>SRR13484485</t>
  </si>
  <si>
    <t>SRX9897104</t>
  </si>
  <si>
    <r>
      <rPr>
        <u/>
        <sz val="12"/>
        <color rgb="FF1155CC"/>
        <rFont val="Calibri"/>
        <family val="2"/>
      </rPr>
      <t>10.1002/tpg2.20123</t>
    </r>
  </si>
  <si>
    <t>SRR13484486</t>
  </si>
  <si>
    <t>SRX9897103</t>
  </si>
  <si>
    <r>
      <rPr>
        <u/>
        <sz val="12"/>
        <color rgb="FF1155CC"/>
        <rFont val="Calibri"/>
        <family val="2"/>
      </rPr>
      <t>10.1002/tpg2.20123</t>
    </r>
  </si>
  <si>
    <t>SRR22684613</t>
  </si>
  <si>
    <t>SRX18646747</t>
  </si>
  <si>
    <t>Tripidium_ravennae</t>
  </si>
  <si>
    <t>Tripidium ravennae</t>
  </si>
  <si>
    <t>10.1186/s12864-021-07641-y</t>
  </si>
  <si>
    <t>SRR22684614</t>
  </si>
  <si>
    <t>SRX18646746</t>
  </si>
  <si>
    <t>SRR12640301</t>
  </si>
  <si>
    <t>SRX9122338</t>
  </si>
  <si>
    <t>Triticum_petropavlovskyi</t>
  </si>
  <si>
    <t>Triticum petropavlovskyi</t>
  </si>
  <si>
    <t>TW044</t>
  </si>
  <si>
    <t>10.1038/s41588-020-00722-w</t>
  </si>
  <si>
    <t>SRR12640302</t>
  </si>
  <si>
    <t>SRX9122337</t>
  </si>
  <si>
    <t>TW043</t>
  </si>
  <si>
    <t>SRR12640303</t>
  </si>
  <si>
    <t>SRX9122336</t>
  </si>
  <si>
    <t>TW041</t>
  </si>
  <si>
    <t>SRR12640304</t>
  </si>
  <si>
    <t>SRX9122335</t>
  </si>
  <si>
    <t>TW040</t>
  </si>
  <si>
    <t>SRR13484808</t>
  </si>
  <si>
    <t>SRX9897426</t>
  </si>
  <si>
    <t>Triticum timopheevii</t>
  </si>
  <si>
    <t>PI 94760</t>
  </si>
  <si>
    <t>10.1038/s41597-024-03260-w</t>
  </si>
  <si>
    <t>SRR16327312</t>
  </si>
  <si>
    <t>SRX12605117</t>
  </si>
  <si>
    <t>Urochloa_brizantha</t>
  </si>
  <si>
    <t>Urochloa brizantha</t>
  </si>
  <si>
    <r>
      <rPr>
        <u/>
        <sz val="12"/>
        <color rgb="FF1155CC"/>
        <rFont val="Calibri"/>
        <family val="2"/>
      </rPr>
      <t>10.1093/aob/mcae022</t>
    </r>
  </si>
  <si>
    <t>SRR16327315</t>
  </si>
  <si>
    <t>SRX12605114</t>
  </si>
  <si>
    <r>
      <rPr>
        <u/>
        <sz val="12"/>
        <color rgb="FF1155CC"/>
        <rFont val="Calibri"/>
        <family val="2"/>
      </rPr>
      <t>10.1093/aob/mcae022</t>
    </r>
  </si>
  <si>
    <t>SRR16327316</t>
  </si>
  <si>
    <t>SRX12605113</t>
  </si>
  <si>
    <r>
      <rPr>
        <u/>
        <sz val="12"/>
        <color rgb="FF1155CC"/>
        <rFont val="Calibri"/>
        <family val="2"/>
      </rPr>
      <t>10.1093/aob/mcae022</t>
    </r>
  </si>
  <si>
    <t>SRR16327317</t>
  </si>
  <si>
    <t>SRX12605112</t>
  </si>
  <si>
    <r>
      <rPr>
        <u/>
        <sz val="12"/>
        <color rgb="FF1155CC"/>
        <rFont val="Calibri"/>
        <family val="2"/>
      </rPr>
      <t>10.1093/aob/mcae022</t>
    </r>
  </si>
  <si>
    <t>SRR23951516</t>
  </si>
  <si>
    <t>SRX19760326</t>
  </si>
  <si>
    <t>Zoysia macrostachya</t>
  </si>
  <si>
    <t>Nanopore</t>
  </si>
  <si>
    <t>SRR15096507</t>
  </si>
  <si>
    <t>SRX11406357</t>
  </si>
  <si>
    <t>Avena barbata</t>
  </si>
  <si>
    <t>CN 65538</t>
  </si>
  <si>
    <t>10.1038/s41588-022-01127-7</t>
  </si>
  <si>
    <t>SRR23019076</t>
  </si>
  <si>
    <t>SRX18974896</t>
  </si>
  <si>
    <t>Avena byzantina</t>
  </si>
  <si>
    <t>Koch</t>
  </si>
  <si>
    <r>
      <rPr>
        <u/>
        <sz val="12"/>
        <color rgb="FF1155CC"/>
        <rFont val="Calibri"/>
        <family val="2"/>
      </rPr>
      <t>10.1093/gigascience/giad061</t>
    </r>
  </si>
  <si>
    <t>SRR23019254</t>
  </si>
  <si>
    <t>SRX18974718</t>
  </si>
  <si>
    <t>Avena fatua</t>
  </si>
  <si>
    <r>
      <rPr>
        <u/>
        <sz val="12"/>
        <color rgb="FF1155CC"/>
        <rFont val="Calibri"/>
        <family val="2"/>
      </rPr>
      <t>10.1093/gigascience/giad061</t>
    </r>
  </si>
  <si>
    <t>SRR14867315</t>
  </si>
  <si>
    <r>
      <rPr>
        <u/>
        <sz val="12"/>
        <color rgb="FF1155CC"/>
        <rFont val="Calibri"/>
        <family val="2"/>
      </rPr>
      <t>SRX11184898</t>
    </r>
  </si>
  <si>
    <t>Avena maroccana</t>
  </si>
  <si>
    <t>CN 57945</t>
  </si>
  <si>
    <t>SRR14924115</t>
  </si>
  <si>
    <r>
      <rPr>
        <u/>
        <sz val="12"/>
        <color rgb="FF1155CC"/>
        <rFont val="Calibri"/>
        <family val="2"/>
      </rPr>
      <t>SRX11237334</t>
    </r>
  </si>
  <si>
    <t>Avena murphyi</t>
  </si>
  <si>
    <t>CN 21989</t>
  </si>
  <si>
    <t>SRR23019086</t>
  </si>
  <si>
    <r>
      <rPr>
        <u/>
        <sz val="12"/>
        <color rgb="FF1155CC"/>
        <rFont val="Calibri"/>
        <family val="2"/>
      </rPr>
      <t>SRX18974886</t>
    </r>
  </si>
  <si>
    <t>Avena nuda</t>
  </si>
  <si>
    <r>
      <rPr>
        <u/>
        <sz val="12"/>
        <color rgb="FF1155CC"/>
        <rFont val="Calibri"/>
        <family val="2"/>
      </rPr>
      <t>10.1093/gigascience/giad061</t>
    </r>
  </si>
  <si>
    <t>SRR23019235</t>
  </si>
  <si>
    <r>
      <rPr>
        <u/>
        <sz val="12"/>
        <color rgb="FF1155CC"/>
        <rFont val="Calibri"/>
        <family val="2"/>
      </rPr>
      <t>SRX18974737</t>
    </r>
  </si>
  <si>
    <t>Avena occidentalis</t>
  </si>
  <si>
    <r>
      <rPr>
        <u/>
        <sz val="12"/>
        <color rgb="FF1155CC"/>
        <rFont val="Calibri"/>
        <family val="2"/>
      </rPr>
      <t>10.1093/gigascience/giad061</t>
    </r>
  </si>
  <si>
    <t>SRR23019232</t>
  </si>
  <si>
    <r>
      <rPr>
        <u/>
        <sz val="12"/>
        <color rgb="FF1155CC"/>
        <rFont val="Calibri"/>
        <family val="2"/>
      </rPr>
      <t>SRX18974740</t>
    </r>
  </si>
  <si>
    <t>Avena sterilis</t>
  </si>
  <si>
    <r>
      <rPr>
        <u/>
        <sz val="12"/>
        <color rgb="FF1155CC"/>
        <rFont val="Calibri"/>
        <family val="2"/>
      </rPr>
      <t>10.1093/gigascience/giad061</t>
    </r>
  </si>
  <si>
    <t>SRR13627099</t>
  </si>
  <si>
    <r>
      <rPr>
        <u/>
        <sz val="12"/>
        <color rgb="FF1155CC"/>
        <rFont val="Calibri"/>
        <family val="2"/>
      </rPr>
      <t>SRX10020148</t>
    </r>
  </si>
  <si>
    <t>Bambusa albolineata</t>
  </si>
  <si>
    <r>
      <rPr>
        <u/>
        <sz val="12"/>
        <color rgb="FF1155CC"/>
        <rFont val="Calibri"/>
        <family val="2"/>
      </rPr>
      <t>10.1080/23802359.2021.1967798</t>
    </r>
  </si>
  <si>
    <t>SRR18907695</t>
  </si>
  <si>
    <r>
      <rPr>
        <u/>
        <sz val="12"/>
        <color rgb="FF1155CC"/>
        <rFont val="Calibri"/>
        <family val="2"/>
      </rPr>
      <t>SRX14985687</t>
    </r>
  </si>
  <si>
    <t>Bambusa grandis</t>
  </si>
  <si>
    <r>
      <rPr>
        <u/>
        <sz val="12"/>
        <color rgb="FF1155CC"/>
        <rFont val="Calibri"/>
        <family val="2"/>
      </rPr>
      <t>10.2306/scienceasia1513-1874.2024.083</t>
    </r>
  </si>
  <si>
    <t>SRR7121923</t>
  </si>
  <si>
    <r>
      <rPr>
        <u/>
        <sz val="12"/>
        <color rgb="FF1155CC"/>
        <rFont val="Calibri"/>
        <family val="2"/>
      </rPr>
      <t>SRX4043472</t>
    </r>
  </si>
  <si>
    <t>Cenchrus qianningensis</t>
  </si>
  <si>
    <r>
      <rPr>
        <u/>
        <sz val="12"/>
        <color rgb="FF1155CC"/>
        <rFont val="Calibri"/>
        <family val="2"/>
      </rPr>
      <t>10.1093/gigascience/giz007</t>
    </r>
  </si>
  <si>
    <t>SRR7121595</t>
  </si>
  <si>
    <r>
      <rPr>
        <u/>
        <sz val="12"/>
        <color rgb="FF1155CC"/>
        <rFont val="Calibri"/>
        <family val="2"/>
      </rPr>
      <t>SRX4043144</t>
    </r>
  </si>
  <si>
    <t>Chloris barbata</t>
  </si>
  <si>
    <r>
      <rPr>
        <u/>
        <sz val="12"/>
        <color rgb="FF1155CC"/>
        <rFont val="Calibri"/>
        <family val="2"/>
      </rPr>
      <t>10.1093/gigascience/giz007</t>
    </r>
  </si>
  <si>
    <t>SRR7121569</t>
  </si>
  <si>
    <r>
      <rPr>
        <u/>
        <sz val="12"/>
        <color rgb="FF1155CC"/>
        <rFont val="Calibri"/>
        <family val="2"/>
      </rPr>
      <t>SRX4043118</t>
    </r>
  </si>
  <si>
    <t>Neyraudia reynaudiana</t>
  </si>
  <si>
    <r>
      <rPr>
        <u/>
        <sz val="12"/>
        <color rgb="FF1155CC"/>
        <rFont val="Calibri"/>
        <family val="2"/>
      </rPr>
      <t>10.1093/gigascience/giz007</t>
    </r>
  </si>
  <si>
    <t>SRR7121975</t>
  </si>
  <si>
    <r>
      <rPr>
        <u/>
        <sz val="12"/>
        <color rgb="FF1155CC"/>
        <rFont val="Calibri"/>
        <family val="2"/>
      </rPr>
      <t>SRX4043524</t>
    </r>
  </si>
  <si>
    <t>Saccharum longisetosum</t>
  </si>
  <si>
    <r>
      <rPr>
        <u/>
        <sz val="12"/>
        <color rgb="FF1155CC"/>
        <rFont val="Calibri"/>
        <family val="2"/>
      </rPr>
      <t>10.1093/gigascience/giz007</t>
    </r>
  </si>
  <si>
    <t>SRR15440587</t>
  </si>
  <si>
    <r>
      <rPr>
        <u/>
        <sz val="12"/>
        <color rgb="FF1155CC"/>
        <rFont val="Calibri"/>
        <family val="2"/>
      </rPr>
      <t>SRX11740024</t>
    </r>
  </si>
  <si>
    <t>Secale sylvestre</t>
  </si>
  <si>
    <t>10.1016/j.molp.2021.12.015</t>
  </si>
  <si>
    <t>tracker_sample_name</t>
  </si>
  <si>
    <t>Ecotype</t>
  </si>
  <si>
    <t>lifeHistory</t>
  </si>
  <si>
    <t>technology</t>
  </si>
  <si>
    <t>source</t>
  </si>
  <si>
    <t>complete</t>
  </si>
  <si>
    <t>duplicated</t>
  </si>
  <si>
    <t>fraged</t>
  </si>
  <si>
    <t>missing</t>
  </si>
  <si>
    <t>clade</t>
  </si>
  <si>
    <t>subfamily</t>
  </si>
  <si>
    <t>tribe</t>
  </si>
  <si>
    <t>subtribe</t>
  </si>
  <si>
    <t>perennial</t>
  </si>
  <si>
    <t>BOP</t>
  </si>
  <si>
    <t>Pooideae</t>
  </si>
  <si>
    <t>Triticeae</t>
  </si>
  <si>
    <t>Hordeinae</t>
  </si>
  <si>
    <t>annual</t>
  </si>
  <si>
    <t>Triticinae</t>
  </si>
  <si>
    <t>AN21TSTL0187</t>
  </si>
  <si>
    <t>Schizachyrium delavayi</t>
  </si>
  <si>
    <t>PanAnd</t>
  </si>
  <si>
    <t>PACMAD</t>
  </si>
  <si>
    <t>Panicoideae</t>
  </si>
  <si>
    <t>Andropogoneae</t>
  </si>
  <si>
    <t>Anthistiriinae</t>
  </si>
  <si>
    <t>AN21TSTL0248</t>
  </si>
  <si>
    <t>Anatherum bicorne</t>
  </si>
  <si>
    <t>Andropogoninae</t>
  </si>
  <si>
    <t>AN22TNTL091</t>
  </si>
  <si>
    <t>Saccharum kajkaiense</t>
  </si>
  <si>
    <t>Saccharinae</t>
  </si>
  <si>
    <t>Poeae</t>
  </si>
  <si>
    <t>Aveninae</t>
  </si>
  <si>
    <t>Brachypodieae</t>
  </si>
  <si>
    <t>Brachypodiinae</t>
  </si>
  <si>
    <t>Bromeae</t>
  </si>
  <si>
    <t>Brominae</t>
  </si>
  <si>
    <t>ChrysopogonNigritanus_v1.0</t>
  </si>
  <si>
    <t>Chrysopogon nigritanus</t>
  </si>
  <si>
    <t>Chrysopogoninae</t>
  </si>
  <si>
    <t>Sorghinae</t>
  </si>
  <si>
    <t>Chloridoideae</t>
  </si>
  <si>
    <t>Cynodonteae</t>
  </si>
  <si>
    <t>Eleusininae</t>
  </si>
  <si>
    <t>Alopecurinae</t>
  </si>
  <si>
    <t>Loliinae</t>
  </si>
  <si>
    <t>Paniceae</t>
  </si>
  <si>
    <t>Anthephorinae</t>
  </si>
  <si>
    <t>Oryzoideae</t>
  </si>
  <si>
    <t>Oryzeae</t>
  </si>
  <si>
    <t>Oryzinae</t>
  </si>
  <si>
    <t>Arundinoideae</t>
  </si>
  <si>
    <t>Molinieae</t>
  </si>
  <si>
    <t>Molininae</t>
  </si>
  <si>
    <t>annual or perennial</t>
  </si>
  <si>
    <t>Tripogoninae</t>
  </si>
  <si>
    <t>Paspaleae</t>
  </si>
  <si>
    <t>Paspalinae</t>
  </si>
  <si>
    <t>Cenchrinae</t>
  </si>
  <si>
    <t>Poinae</t>
  </si>
  <si>
    <t>Coleanthinae</t>
  </si>
  <si>
    <t>Zoysieae</t>
  </si>
  <si>
    <t>Sporobolinae</t>
  </si>
  <si>
    <t>Bambusoideae</t>
  </si>
  <si>
    <t>Bambuseae</t>
  </si>
  <si>
    <t>Melocanninae</t>
  </si>
  <si>
    <t>Arundinarieae</t>
  </si>
  <si>
    <t>Arundinariinae</t>
  </si>
  <si>
    <t>Bambusinae</t>
  </si>
  <si>
    <t>Zoysiinae</t>
  </si>
  <si>
    <t>Triraphideae</t>
  </si>
  <si>
    <t>Triraphidinae</t>
  </si>
  <si>
    <t>Orininae</t>
  </si>
  <si>
    <t>Tripogon_filiformis</t>
  </si>
  <si>
    <t>Zizaniinae</t>
  </si>
  <si>
    <t>MCRTL045</t>
  </si>
  <si>
    <t>AT20TN1MCRTL045</t>
  </si>
  <si>
    <t>"Andropogon" appendiculatus</t>
  </si>
  <si>
    <t>D.B. Muller 812</t>
  </si>
  <si>
    <t>AN22TNTL113</t>
  </si>
  <si>
    <t>"Andropogon" brazzae</t>
  </si>
  <si>
    <t>SA Renvoize 5670</t>
  </si>
  <si>
    <t>AN22TNTL122</t>
  </si>
  <si>
    <t>"Andropogon" durifolius</t>
  </si>
  <si>
    <t>WR Anderson, M Stieber, JH Kirkbride Jr 35221</t>
  </si>
  <si>
    <t>AN22TNTL117</t>
  </si>
  <si>
    <t>"Andropogon" mannii</t>
  </si>
  <si>
    <t>Pasquet 1272</t>
  </si>
  <si>
    <t>merged</t>
  </si>
  <si>
    <t>AANG_UGA4</t>
  </si>
  <si>
    <t>AANG4-8</t>
  </si>
  <si>
    <t>Boivinellinae</t>
  </si>
  <si>
    <t>AN22TNTL030</t>
  </si>
  <si>
    <t>Anadelphia polychaeta</t>
  </si>
  <si>
    <t>Haba 1195</t>
  </si>
  <si>
    <t>MCRTL031</t>
  </si>
  <si>
    <t>AT20TN1MCRTL031</t>
  </si>
  <si>
    <t>Anadelphia scyphofera</t>
  </si>
  <si>
    <t>Pasquet 1237</t>
  </si>
  <si>
    <t>AN21TNTL0087</t>
  </si>
  <si>
    <t>Bidgood et al 5500</t>
  </si>
  <si>
    <t>AN22TNTL149</t>
  </si>
  <si>
    <t>Anadelphia trispiculata</t>
  </si>
  <si>
    <t>J.K. Morton SL1422</t>
  </si>
  <si>
    <t>AN21TSTL0186</t>
  </si>
  <si>
    <t>Anatherum arctatum</t>
  </si>
  <si>
    <t>AUB 130</t>
  </si>
  <si>
    <t>AN21TSTL0242</t>
  </si>
  <si>
    <t>Anatherum arenarium</t>
  </si>
  <si>
    <t>GA Norrmann 139</t>
  </si>
  <si>
    <t>AN21TNTL0177</t>
  </si>
  <si>
    <t>AN20TSCR000209</t>
  </si>
  <si>
    <t>AUB &amp; Bookout 110</t>
  </si>
  <si>
    <t>AN21TS04</t>
  </si>
  <si>
    <t>AN21TSTL0004</t>
  </si>
  <si>
    <t>Anatherum brachystachyum</t>
  </si>
  <si>
    <t>AUB 123</t>
  </si>
  <si>
    <t>AN21TS35</t>
  </si>
  <si>
    <t>AN21TSTL0035</t>
  </si>
  <si>
    <t>Anatherum capillipes</t>
  </si>
  <si>
    <t>AUB 134</t>
  </si>
  <si>
    <t>AN22TNTL125</t>
  </si>
  <si>
    <t>Anatherum curvifolium</t>
  </si>
  <si>
    <t>P Houngnon, P Agbani, H Yadomonhan 6116</t>
  </si>
  <si>
    <t>AN22TNTL111</t>
  </si>
  <si>
    <t>Anatherum eucomum</t>
  </si>
  <si>
    <t>Dan Turk &amp; M beck 363</t>
  </si>
  <si>
    <t>AN20T021</t>
  </si>
  <si>
    <t>AN20TSCR000202</t>
  </si>
  <si>
    <t>Anatherum eucomum subsp. huillense</t>
  </si>
  <si>
    <t>NOP 116</t>
  </si>
  <si>
    <t>AN20T169</t>
  </si>
  <si>
    <t>AN20TSCR000169</t>
  </si>
  <si>
    <t>Nanjarisoa 116</t>
  </si>
  <si>
    <t>AN21TS24</t>
  </si>
  <si>
    <t>AN21TSTL0024</t>
  </si>
  <si>
    <t>Anatherum floridanum</t>
  </si>
  <si>
    <t>AUB 120</t>
  </si>
  <si>
    <t>AN21TNTL0105</t>
  </si>
  <si>
    <t>Anatherum glaucophyllum</t>
  </si>
  <si>
    <t>Schinini &amp; Dematteis 33379</t>
  </si>
  <si>
    <t>AN21TSTL0184</t>
  </si>
  <si>
    <t>Anatherum glomeratum</t>
  </si>
  <si>
    <t>KEW 210731</t>
  </si>
  <si>
    <t>AN21TSTL0246</t>
  </si>
  <si>
    <t>Anatherum gyrans</t>
  </si>
  <si>
    <t>KEW 516798</t>
  </si>
  <si>
    <t>AN20T170</t>
  </si>
  <si>
    <t>AN20TSCR000170</t>
  </si>
  <si>
    <t>Anatherum ibityense</t>
  </si>
  <si>
    <t>Vorontsova 1013</t>
  </si>
  <si>
    <t>AN20T022</t>
  </si>
  <si>
    <t>AN20TSCR000222</t>
  </si>
  <si>
    <t>MSV 1013</t>
  </si>
  <si>
    <t>AN20T039</t>
  </si>
  <si>
    <t>AN20TSCR000206</t>
  </si>
  <si>
    <t>Anatherum ivohibense</t>
  </si>
  <si>
    <t>RGD 181</t>
  </si>
  <si>
    <t>AN20T172</t>
  </si>
  <si>
    <t>AN20TSCR000172</t>
  </si>
  <si>
    <t>Ratovonirina 181</t>
  </si>
  <si>
    <t>AN21TS52</t>
  </si>
  <si>
    <t>AN21TSTL0052</t>
  </si>
  <si>
    <t>Anatherum laterale</t>
  </si>
  <si>
    <t>Welker 390</t>
  </si>
  <si>
    <t>AN21TSTL0056</t>
  </si>
  <si>
    <t>Anatherum leucostachyum</t>
  </si>
  <si>
    <t>Welker 374</t>
  </si>
  <si>
    <t>AN21TSTL0219</t>
  </si>
  <si>
    <t>Anatherum longiberbe</t>
  </si>
  <si>
    <t>AUB 133</t>
  </si>
  <si>
    <t>MCRTL068</t>
  </si>
  <si>
    <t>AT20TN1MCRTL068</t>
  </si>
  <si>
    <t>C.S. Campbell 4091</t>
  </si>
  <si>
    <t>AN21TS53</t>
  </si>
  <si>
    <t>AN21TSTL0053</t>
  </si>
  <si>
    <t>Anatherum macrothrix</t>
  </si>
  <si>
    <t>Welker 351-A</t>
  </si>
  <si>
    <t>AN22TNTL116</t>
  </si>
  <si>
    <t>Anatherum mohrii</t>
  </si>
  <si>
    <t>McDaniel &amp; Brooks 20967</t>
  </si>
  <si>
    <t>AN21TNTL0075</t>
  </si>
  <si>
    <t>Anatherum pringlei</t>
  </si>
  <si>
    <t>P.M. Peterson 19125</t>
  </si>
  <si>
    <t>AN21TS57</t>
  </si>
  <si>
    <t>AN21TSTL0057</t>
  </si>
  <si>
    <t>Anatherum selloanum</t>
  </si>
  <si>
    <t>Welker 356</t>
  </si>
  <si>
    <t>AN21TS17</t>
  </si>
  <si>
    <t>AN21TSTL0017</t>
  </si>
  <si>
    <t>Anatherum ternarium</t>
  </si>
  <si>
    <t>W6 54786</t>
  </si>
  <si>
    <t>AN20T035</t>
  </si>
  <si>
    <t>AN20TSCR000204</t>
  </si>
  <si>
    <t>Anatherum trichozygum</t>
  </si>
  <si>
    <t>MSV 1925</t>
  </si>
  <si>
    <t>Av-Kellogg1287_8-REFERENCE-PanAnd-1.0</t>
  </si>
  <si>
    <t>Anatherum virginicum</t>
  </si>
  <si>
    <t>Kellogg1287</t>
  </si>
  <si>
    <t>AN20T168</t>
  </si>
  <si>
    <t>AN20TSCR000168</t>
  </si>
  <si>
    <t>Andropogon amethystinus</t>
  </si>
  <si>
    <t>MSV 1622</t>
  </si>
  <si>
    <t>MCRTL036</t>
  </si>
  <si>
    <t>AT20TN1MCRTL036</t>
  </si>
  <si>
    <t>Andropogon andringitrensis</t>
  </si>
  <si>
    <t>NOP 89</t>
  </si>
  <si>
    <t>AN22TNTL109</t>
  </si>
  <si>
    <t>Andropogon angustatus</t>
  </si>
  <si>
    <t>SD Koch, PA Fryxell, D Altman 87217</t>
  </si>
  <si>
    <t>AN22TNTL031</t>
  </si>
  <si>
    <t>Andropogon aridus</t>
  </si>
  <si>
    <t>Mckinnon 251</t>
  </si>
  <si>
    <t>AN22TNTL108</t>
  </si>
  <si>
    <t>Andropogon auriculatus</t>
  </si>
  <si>
    <t>JJFE de Wilde 10116</t>
  </si>
  <si>
    <t>Ab-Traiperm_572-DRAFT-PanAnd-1.0</t>
  </si>
  <si>
    <t>Andropogon burmanicus</t>
  </si>
  <si>
    <t>Traiperm_572</t>
  </si>
  <si>
    <t>AN21TNTL0076</t>
  </si>
  <si>
    <t>Andropogon campestris</t>
  </si>
  <si>
    <t>Chase 7977</t>
  </si>
  <si>
    <t>AN22TNTL110</t>
  </si>
  <si>
    <t>Andropogon carinatus</t>
  </si>
  <si>
    <t>ML Fonseca et al 1223</t>
  </si>
  <si>
    <t>Ac-Pasquet1232-DRAFT-PanAnd-1.0</t>
  </si>
  <si>
    <t>Andropogon chinensis</t>
  </si>
  <si>
    <t>Pasquet1232</t>
  </si>
  <si>
    <t>AN22TNTL123</t>
  </si>
  <si>
    <t>Andropogon chrysostachyus</t>
  </si>
  <si>
    <t>YS Abeid, S Machaga, S Zabron, G Picton-Phillips 2801</t>
  </si>
  <si>
    <t>AN22TNTL171</t>
  </si>
  <si>
    <t>Andropogon crossotos</t>
  </si>
  <si>
    <t>E. Bisset 177</t>
  </si>
  <si>
    <t>AN22TNTL026</t>
  </si>
  <si>
    <t>Andropogon crucianus</t>
  </si>
  <si>
    <t>RM Harley 15771</t>
  </si>
  <si>
    <t>AN22TNTL121</t>
  </si>
  <si>
    <t>Andropogon exaratus</t>
  </si>
  <si>
    <t>E Zardini, R VelÔøΩzquez 26545</t>
  </si>
  <si>
    <t>AN21TSTL0185</t>
  </si>
  <si>
    <t>Andropogon gayanus</t>
  </si>
  <si>
    <t>KEW 60051</t>
  </si>
  <si>
    <t>AN21TNTL0074</t>
  </si>
  <si>
    <t>Andropogon gayanus var. bisquamulatus</t>
  </si>
  <si>
    <t>Ag-CAM1351-DRAFT-PanAnd-1.0</t>
  </si>
  <si>
    <t>Andropogon gerardii</t>
  </si>
  <si>
    <t>CAM1351</t>
  </si>
  <si>
    <t>AN21TNTL0077</t>
  </si>
  <si>
    <t>Andropogon greenwayi</t>
  </si>
  <si>
    <t>P. Peterson 24307</t>
  </si>
  <si>
    <t>AN21TSTL0247</t>
  </si>
  <si>
    <t>Andropogon hallii</t>
  </si>
  <si>
    <t>PI 674828</t>
  </si>
  <si>
    <t>MCRTL041</t>
  </si>
  <si>
    <t>AT20TN1MCRTL041</t>
  </si>
  <si>
    <t>Andropogon heterantherus</t>
  </si>
  <si>
    <t>Helen Fauckon 3561</t>
  </si>
  <si>
    <t>AN22TNTL118</t>
  </si>
  <si>
    <t>Andropogon hypogynus</t>
  </si>
  <si>
    <t>D Alvarenga, RC MendonÔøΩa, MLM Azevedo, E Cardoso, M Aparecida da Silva 1139</t>
  </si>
  <si>
    <t>AN21TNTL0111</t>
  </si>
  <si>
    <t>Andropogon ingratus</t>
  </si>
  <si>
    <t>Giulietti et al 7329</t>
  </si>
  <si>
    <t>AN20T036</t>
  </si>
  <si>
    <t>AN20TSCR000205</t>
  </si>
  <si>
    <t>Andropogon itremoensis</t>
  </si>
  <si>
    <t>MSV 1987</t>
  </si>
  <si>
    <t>MCRTL057</t>
  </si>
  <si>
    <t>AT20TN1MCRTL057</t>
  </si>
  <si>
    <t>NOP 125</t>
  </si>
  <si>
    <t>MCRTL065</t>
  </si>
  <si>
    <t>AT20TN1MCRTL065</t>
  </si>
  <si>
    <t>Andropogon ivorensis</t>
  </si>
  <si>
    <t>H. Jacques-Felix 8602</t>
  </si>
  <si>
    <t>AT20TN1MCRTL046</t>
  </si>
  <si>
    <t>Andropogon kelleri</t>
  </si>
  <si>
    <t>C.F. Hemming 2168</t>
  </si>
  <si>
    <t>MCRTL051</t>
  </si>
  <si>
    <t>AT20TN1MCRTL051</t>
  </si>
  <si>
    <t>Andropogon leprodes</t>
  </si>
  <si>
    <t>P.e. Glover &amp; Gilliland 1067</t>
  </si>
  <si>
    <t>AN21TNTL0112</t>
  </si>
  <si>
    <t>Andropogon lima</t>
  </si>
  <si>
    <t>Katende 911</t>
  </si>
  <si>
    <t>AN21TS02</t>
  </si>
  <si>
    <t>AN21TSTL0002</t>
  </si>
  <si>
    <t>Andropogon pseudapricus</t>
  </si>
  <si>
    <t>Kew 183921</t>
  </si>
  <si>
    <t>MCRTL058</t>
  </si>
  <si>
    <t>AT20TN1MCRTL058</t>
  </si>
  <si>
    <t>Andropogon pumilus</t>
  </si>
  <si>
    <t>K.T.B. Hodd 248</t>
  </si>
  <si>
    <t>AN21TS50</t>
  </si>
  <si>
    <t>AN21TSTL0050</t>
  </si>
  <si>
    <t>Andropogon schirensis</t>
  </si>
  <si>
    <t>Pasquet s.n.</t>
  </si>
  <si>
    <t>AN21TS54</t>
  </si>
  <si>
    <t>AN21TSTL0054</t>
  </si>
  <si>
    <t>Andropogon ternatus</t>
  </si>
  <si>
    <t>Welker 355-A</t>
  </si>
  <si>
    <t>MCRTL044</t>
  </si>
  <si>
    <t>AT20TN1MCRTL044</t>
  </si>
  <si>
    <t>Andropogon textilis</t>
  </si>
  <si>
    <t>D. Vesey-Fitzgerald 1500</t>
  </si>
  <si>
    <t>AN21TS55</t>
  </si>
  <si>
    <t>AN21TSTL0055</t>
  </si>
  <si>
    <t>Andropogon virgatus</t>
  </si>
  <si>
    <t>Welker 404</t>
  </si>
  <si>
    <t>MCRTL032</t>
  </si>
  <si>
    <t>AT20TN1MCRTL032</t>
  </si>
  <si>
    <t>Andropterum stolzii</t>
  </si>
  <si>
    <t>JKM 270</t>
  </si>
  <si>
    <t>Ischaeminae</t>
  </si>
  <si>
    <t>AN21TS31</t>
  </si>
  <si>
    <t>AN21TSTL0031</t>
  </si>
  <si>
    <t>Apluda mutica</t>
  </si>
  <si>
    <t>PI 219568</t>
  </si>
  <si>
    <t>Apludinae</t>
  </si>
  <si>
    <t>AN20T174</t>
  </si>
  <si>
    <t>AN20TSCR000174</t>
  </si>
  <si>
    <t>Arthraxon antsirabensis</t>
  </si>
  <si>
    <t>NOP 217</t>
  </si>
  <si>
    <t>Arthraxoninae</t>
  </si>
  <si>
    <t>AN22TNTL028</t>
  </si>
  <si>
    <t>Arthraxon cuspidatus</t>
  </si>
  <si>
    <t>Mcheish 1369</t>
  </si>
  <si>
    <t>AN21TSTL0188</t>
  </si>
  <si>
    <t>Arthraxon hispidus</t>
  </si>
  <si>
    <t>IC 5</t>
  </si>
  <si>
    <t>AN21TS30</t>
  </si>
  <si>
    <t>AN21TSTL0030</t>
  </si>
  <si>
    <t>Arthraxon junnarensis</t>
  </si>
  <si>
    <t>Kew 88886</t>
  </si>
  <si>
    <t>AN21TNTL0107</t>
  </si>
  <si>
    <t>Arthraxon lanceolatus</t>
  </si>
  <si>
    <t>Heybroek 2101</t>
  </si>
  <si>
    <t>AN21TNTL0106</t>
  </si>
  <si>
    <t>Arthraxon lancifolius</t>
  </si>
  <si>
    <t>Gilbert and Thulin 952</t>
  </si>
  <si>
    <t>AN21TNTL0108</t>
  </si>
  <si>
    <t>Arthraxon meeboldii</t>
  </si>
  <si>
    <t>Santapau SJ 10033</t>
  </si>
  <si>
    <t>AN21TSTL0232</t>
  </si>
  <si>
    <t>Arthraxon microphyllus</t>
  </si>
  <si>
    <t>Traiperm 537</t>
  </si>
  <si>
    <t>AN21TNTL0109</t>
  </si>
  <si>
    <t>JRI Wood 5802</t>
  </si>
  <si>
    <t>AN22TNTL170</t>
  </si>
  <si>
    <t>Arthraxon prionodes</t>
  </si>
  <si>
    <t>RJ Rodin 5582</t>
  </si>
  <si>
    <t>AN21TSTL0190</t>
  </si>
  <si>
    <t>Bothriochloa alta</t>
  </si>
  <si>
    <t>PI 204128</t>
  </si>
  <si>
    <t>AN21TSTL0193</t>
  </si>
  <si>
    <t>Bothriochloa barbinodis</t>
  </si>
  <si>
    <t>PI 204138</t>
  </si>
  <si>
    <t>AN21TSTL0276</t>
  </si>
  <si>
    <t>Bothriochloa bladhii</t>
  </si>
  <si>
    <t>PI 208915</t>
  </si>
  <si>
    <t>AN22TNTL169</t>
  </si>
  <si>
    <t>Bothriochloa campii</t>
  </si>
  <si>
    <t>Laegaard 19758</t>
  </si>
  <si>
    <t>AN20T014</t>
  </si>
  <si>
    <t>AN20TSCR000200</t>
  </si>
  <si>
    <t>PIF9999</t>
  </si>
  <si>
    <t>AN21TSTL0277</t>
  </si>
  <si>
    <t>Bothriochloa edwardsiana</t>
  </si>
  <si>
    <t>PI 321436</t>
  </si>
  <si>
    <t>AN21TSTL0278</t>
  </si>
  <si>
    <t>Bothriochloa ewartiana</t>
  </si>
  <si>
    <t>PI 300723</t>
  </si>
  <si>
    <t>AN21TSTL0189</t>
  </si>
  <si>
    <t>Bothriochloa exaristata</t>
  </si>
  <si>
    <t>PI 203721</t>
  </si>
  <si>
    <t>AN21TSTL0279</t>
  </si>
  <si>
    <t>Bothriochloa grahamii</t>
  </si>
  <si>
    <t>PI 241498</t>
  </si>
  <si>
    <t>AN22TNTL126</t>
  </si>
  <si>
    <t>Bothriochloa hirtifolia</t>
  </si>
  <si>
    <t>Sanchez-Ken 209</t>
  </si>
  <si>
    <t>AN21TSTL0280</t>
  </si>
  <si>
    <t>Bothriochloa hybrida</t>
  </si>
  <si>
    <t>PI 321437</t>
  </si>
  <si>
    <t>AN21TNTL0079</t>
  </si>
  <si>
    <t>Bothriochloa imperatoides</t>
  </si>
  <si>
    <t>A.A. Beetle 1291 (seed collected by Gould)</t>
  </si>
  <si>
    <t>AN21TSTL0281</t>
  </si>
  <si>
    <t>Bothriochloa ischaemum</t>
  </si>
  <si>
    <t>PI 172373</t>
  </si>
  <si>
    <t>Bl-K1279B-DRAFT-PanAnd-1.0</t>
  </si>
  <si>
    <t>Bothriochloa laguroides</t>
  </si>
  <si>
    <t>K1279B</t>
  </si>
  <si>
    <t>AN21TS58</t>
  </si>
  <si>
    <t>AN21TSTL0058</t>
  </si>
  <si>
    <t>Bothriochloa longipaniculata</t>
  </si>
  <si>
    <t>Welker 590</t>
  </si>
  <si>
    <t>AN21TSTL0271</t>
  </si>
  <si>
    <t>Bothriochloa macra</t>
  </si>
  <si>
    <t>PI 301274</t>
  </si>
  <si>
    <t>AN21TNTL0175</t>
  </si>
  <si>
    <t>AN20TSCR000234</t>
  </si>
  <si>
    <t>AUB 23</t>
  </si>
  <si>
    <t>AN20TSCR000199</t>
  </si>
  <si>
    <t>Bothriochloa pertusa</t>
  </si>
  <si>
    <t>AUB &amp; Bookout 104</t>
  </si>
  <si>
    <t>AN21TS06</t>
  </si>
  <si>
    <t>AN21TSTL0006</t>
  </si>
  <si>
    <t>AUB 135</t>
  </si>
  <si>
    <t>AN21TSTL0217</t>
  </si>
  <si>
    <t>Bothriochloa saccharoides</t>
  </si>
  <si>
    <t>PI 202212</t>
  </si>
  <si>
    <t>AN21TSTL0216</t>
  </si>
  <si>
    <t>Bothriochloa springfieldii</t>
  </si>
  <si>
    <t>PI 216163</t>
  </si>
  <si>
    <t>AN21TNTL0085</t>
  </si>
  <si>
    <t>Saucedo 788</t>
  </si>
  <si>
    <t>AN21TNTL0083</t>
  </si>
  <si>
    <t>Bothriochloa torreyana</t>
  </si>
  <si>
    <t>Lyonnet 451000020</t>
  </si>
  <si>
    <t>AN21TSTL0215</t>
  </si>
  <si>
    <t>Bothriochloa woodrovii</t>
  </si>
  <si>
    <t>PI 301732</t>
  </si>
  <si>
    <t>AN21TNTL0114</t>
  </si>
  <si>
    <t>Capillipedium kwashotense</t>
  </si>
  <si>
    <t>Miyoshi Furuse 3774</t>
  </si>
  <si>
    <t>AN21TSTL0223</t>
  </si>
  <si>
    <t>Capillipedium spicigerum</t>
  </si>
  <si>
    <t>PI 301773</t>
  </si>
  <si>
    <t>MCRTL042</t>
  </si>
  <si>
    <t>AT20TN1MCRTL042</t>
  </si>
  <si>
    <t>Chrysopogon aciculatus</t>
  </si>
  <si>
    <t>Sumadijaya 714</t>
  </si>
  <si>
    <t>AN21TNTL0117</t>
  </si>
  <si>
    <t>Chrysopogon aucheri</t>
  </si>
  <si>
    <t>Robert Gibbons 0308</t>
  </si>
  <si>
    <t>AN21TNTL0118</t>
  </si>
  <si>
    <t>Chrysopogon fallax</t>
  </si>
  <si>
    <t>S.R. Hirst 34</t>
  </si>
  <si>
    <t>AN21TSTL0245</t>
  </si>
  <si>
    <t>Chrysopogon filipes</t>
  </si>
  <si>
    <t>I.D. Cowie &amp; C.P. Mangion 9120</t>
  </si>
  <si>
    <t>AN21TSTL0253</t>
  </si>
  <si>
    <t>Chrysopogon fulvibarbis</t>
  </si>
  <si>
    <t>KEW 413118</t>
  </si>
  <si>
    <t>AN21TNTL0119</t>
  </si>
  <si>
    <t>Chrysopogon fulvus</t>
  </si>
  <si>
    <t>Pasquet 1135</t>
  </si>
  <si>
    <t>AN21TNTL0120</t>
  </si>
  <si>
    <t>Chrysopogon gryllus</t>
  </si>
  <si>
    <t>PI 383762</t>
  </si>
  <si>
    <t>AN20T176</t>
  </si>
  <si>
    <t>AN20TSCR000176</t>
  </si>
  <si>
    <t>Chrysopogon humbertianus</t>
  </si>
  <si>
    <t>Vorontsova 1413</t>
  </si>
  <si>
    <t>AN21TSTL0227</t>
  </si>
  <si>
    <t>Chrysopogon orientalis</t>
  </si>
  <si>
    <t>Traiperm et al 578</t>
  </si>
  <si>
    <t>AN21TSTL0226</t>
  </si>
  <si>
    <t>Chrysopogon pauciflorus</t>
  </si>
  <si>
    <t>AUB 114</t>
  </si>
  <si>
    <t>AN21TSTL0180</t>
  </si>
  <si>
    <t>Chrysopogon plumulosus</t>
  </si>
  <si>
    <t>Pasquet 1279</t>
  </si>
  <si>
    <t>AN21TNTL0144</t>
  </si>
  <si>
    <t>Chrysopogon schmidianus</t>
  </si>
  <si>
    <t>NM Cuong 472</t>
  </si>
  <si>
    <t>Cs-KelloggPI219580-DRAFT-PanAnd-1.0</t>
  </si>
  <si>
    <t>Kellogg PI219580</t>
  </si>
  <si>
    <t>AN21TNTL0115</t>
  </si>
  <si>
    <t>Clausospicula extensa</t>
  </si>
  <si>
    <t>G.J. Leach &amp; C.R. Dunlop 2575</t>
  </si>
  <si>
    <t>AN21TNTL0116</t>
  </si>
  <si>
    <t>Cleistachne sorghoides</t>
  </si>
  <si>
    <t>B. Goldsmith 12/71</t>
  </si>
  <si>
    <t>Rottboelliinae</t>
  </si>
  <si>
    <t>AN21TS25</t>
  </si>
  <si>
    <t>AN21TSTL0025</t>
  </si>
  <si>
    <t>PI 324509</t>
  </si>
  <si>
    <t>AN21TSTL0194</t>
  </si>
  <si>
    <t>Cymbopogon ambiguus</t>
  </si>
  <si>
    <t>10-04531-06821</t>
  </si>
  <si>
    <t>AN21TNTL0102</t>
  </si>
  <si>
    <t>Cymbopogon bhutanicus</t>
  </si>
  <si>
    <t>JRI Wood 7363</t>
  </si>
  <si>
    <t>AN20T175</t>
  </si>
  <si>
    <t>AN20TSCR000175</t>
  </si>
  <si>
    <t>Cymbopogon caesius</t>
  </si>
  <si>
    <t>Solofondranohatra 243</t>
  </si>
  <si>
    <t>Cc-PI314907-DRAFT-PanAnd-1.0</t>
  </si>
  <si>
    <t>PI314907</t>
  </si>
  <si>
    <t>AN20T179</t>
  </si>
  <si>
    <t>AN20TSCR000179</t>
  </si>
  <si>
    <t>Cymbopogon commutatus</t>
  </si>
  <si>
    <t>Kimeu 117</t>
  </si>
  <si>
    <t>AN21TNTL0094</t>
  </si>
  <si>
    <t>Cymbopogon densiflorus</t>
  </si>
  <si>
    <t>Pasquet 1203</t>
  </si>
  <si>
    <t>AN21TSTL0238</t>
  </si>
  <si>
    <t>Cymbopogon dependens</t>
  </si>
  <si>
    <t>D.L. Lewis 1049</t>
  </si>
  <si>
    <t>AN21TNTL0104</t>
  </si>
  <si>
    <t>Cymbopogon dieterlenii</t>
  </si>
  <si>
    <t>Russell; Robinson; Herman 425</t>
  </si>
  <si>
    <t>AN21TSTL0272</t>
  </si>
  <si>
    <t>Cymbopogon distans</t>
  </si>
  <si>
    <t>PI 653752</t>
  </si>
  <si>
    <t>AN21TS14</t>
  </si>
  <si>
    <t>AN21TSTL0014</t>
  </si>
  <si>
    <t>24-04537-37802</t>
  </si>
  <si>
    <t>AN21TSTL0192</t>
  </si>
  <si>
    <t>Cymbopogon giganteus</t>
  </si>
  <si>
    <t>KEW 222574</t>
  </si>
  <si>
    <t>AN21TSTL0236</t>
  </si>
  <si>
    <t>Cymbopogon goeringii</t>
  </si>
  <si>
    <t>K. Yao 8366</t>
  </si>
  <si>
    <t>AN21TSTL0273</t>
  </si>
  <si>
    <t>Cymbopogon iwarancusa</t>
  </si>
  <si>
    <t>PI 211159</t>
  </si>
  <si>
    <t>AN21TSTL0237</t>
  </si>
  <si>
    <t>Cymbopogon khasianus</t>
  </si>
  <si>
    <t>JRI Wood 5933</t>
  </si>
  <si>
    <t>MCRTL047</t>
  </si>
  <si>
    <t>AT20TN1MCRTL047</t>
  </si>
  <si>
    <t>Cymbopogon lividus</t>
  </si>
  <si>
    <t>T.R. Soderstrom; S. Kulatunge 1669</t>
  </si>
  <si>
    <t>AN21TSTL0195</t>
  </si>
  <si>
    <t>Cymbopogon martini</t>
  </si>
  <si>
    <t>20-04530-10860</t>
  </si>
  <si>
    <t>AN21TS34</t>
  </si>
  <si>
    <t>AN21TSTL0034</t>
  </si>
  <si>
    <t>Cymbopogon nardus</t>
  </si>
  <si>
    <t>21-04530-27038</t>
  </si>
  <si>
    <t>AN20T011</t>
  </si>
  <si>
    <t>AN20TSCR000215</t>
  </si>
  <si>
    <t>Cymbopogon obtectus</t>
  </si>
  <si>
    <t>M. Lazarides &amp; J. Palmer 40</t>
  </si>
  <si>
    <t>AN22TNTL037</t>
  </si>
  <si>
    <t>Cymbopogon osmastonii</t>
  </si>
  <si>
    <t>D. Schaof 95</t>
  </si>
  <si>
    <t>AN21TSTL0191</t>
  </si>
  <si>
    <t>Cymbopogon pospischilii</t>
  </si>
  <si>
    <t>PI 276030</t>
  </si>
  <si>
    <t>Cr-AUB069-DRAFT-PanAnd-1.0</t>
  </si>
  <si>
    <t>Cymbopogon refractus</t>
  </si>
  <si>
    <t>AUB069</t>
  </si>
  <si>
    <t>AN21TSTL0274</t>
  </si>
  <si>
    <t>Cymbopogon schoenanthus</t>
  </si>
  <si>
    <t>PI 215643</t>
  </si>
  <si>
    <t>AN21TS28</t>
  </si>
  <si>
    <t>AN21TSTL0028</t>
  </si>
  <si>
    <t>Cymbopogon winterianus</t>
  </si>
  <si>
    <t>01-04531-61419</t>
  </si>
  <si>
    <t>Dactylidinae</t>
  </si>
  <si>
    <t>2006-1</t>
  </si>
  <si>
    <t>Dichantheliinae</t>
  </si>
  <si>
    <t>AN20T177</t>
  </si>
  <si>
    <t>AN20TSCR000177</t>
  </si>
  <si>
    <t>Dichanthium aristatum</t>
  </si>
  <si>
    <t>Vorontsova 1765</t>
  </si>
  <si>
    <t>AN22TNTL128</t>
  </si>
  <si>
    <t>Dichanthium caricosum</t>
  </si>
  <si>
    <t>P Peterson, RJ Soreng, K Romaschenko 23816</t>
  </si>
  <si>
    <t>AN21TSTL0235</t>
  </si>
  <si>
    <t>Dichanthium fecundum</t>
  </si>
  <si>
    <t>D.L. Lewis 1529</t>
  </si>
  <si>
    <t>AN21TSTL0196</t>
  </si>
  <si>
    <t>Dichanthium sericeum</t>
  </si>
  <si>
    <t>PI 213880</t>
  </si>
  <si>
    <t>AN21TSTL0231</t>
  </si>
  <si>
    <t>Traiperm et al 571</t>
  </si>
  <si>
    <t>AN21TS08</t>
  </si>
  <si>
    <t>AN21TSTL0008</t>
  </si>
  <si>
    <t>Diectomis fastigiata</t>
  </si>
  <si>
    <t>Kew 246275</t>
  </si>
  <si>
    <t>AN21TNTL0169</t>
  </si>
  <si>
    <t>AN20TSCR000227</t>
  </si>
  <si>
    <t>SLC 109</t>
  </si>
  <si>
    <t>AN21TS16</t>
  </si>
  <si>
    <t>AN21TSTL0016</t>
  </si>
  <si>
    <t>Diheteropogon amplectens</t>
  </si>
  <si>
    <t>Kew 246323</t>
  </si>
  <si>
    <t>AN20T183</t>
  </si>
  <si>
    <t>AN20TSCR000183</t>
  </si>
  <si>
    <t>Vorontsova 1663</t>
  </si>
  <si>
    <t>AN21TNTL0172</t>
  </si>
  <si>
    <t>AN20TSCR000231</t>
  </si>
  <si>
    <t>Diheteropogon amplectens var. catangensis</t>
  </si>
  <si>
    <t>AN20T184</t>
  </si>
  <si>
    <t>AN20TSCR000184</t>
  </si>
  <si>
    <t>Diheteropogon filifolius</t>
  </si>
  <si>
    <t>Vorontsova 2371</t>
  </si>
  <si>
    <t>AN21TS23</t>
  </si>
  <si>
    <t>AN21TSTL0023</t>
  </si>
  <si>
    <t>Diheteropogon hagerupii</t>
  </si>
  <si>
    <t>Kew 254456</t>
  </si>
  <si>
    <t>AN21TNTL0139</t>
  </si>
  <si>
    <t>Dimeria aristata</t>
  </si>
  <si>
    <t>Davidse 7819A</t>
  </si>
  <si>
    <t>AN21TNTL0100</t>
  </si>
  <si>
    <t>Dimeria chloridiformis</t>
  </si>
  <si>
    <t>W.D. Clayton; A. Weerasooriya 6179</t>
  </si>
  <si>
    <t>AN21TS51</t>
  </si>
  <si>
    <t>AN21TSTL0051</t>
  </si>
  <si>
    <t>Dimeria lawsonii</t>
  </si>
  <si>
    <t>KR 81018</t>
  </si>
  <si>
    <t>AN22TNTL036</t>
  </si>
  <si>
    <t>Dimeria mooneyi</t>
  </si>
  <si>
    <t>HF Mooney 3657</t>
  </si>
  <si>
    <t>MCRTL040</t>
  </si>
  <si>
    <t>AT20TN1MCRTL040</t>
  </si>
  <si>
    <t>Dimeria ornithopoda</t>
  </si>
  <si>
    <t>Traiperm 575</t>
  </si>
  <si>
    <t>AN21TNTL0101</t>
  </si>
  <si>
    <t>Dimeria pubescens</t>
  </si>
  <si>
    <t>Davidse &amp; D.B. Sumithraarachchi 7940</t>
  </si>
  <si>
    <t>AN21TSTL0020</t>
  </si>
  <si>
    <t>Elionurus barbiculmis</t>
  </si>
  <si>
    <t>PI 647882</t>
  </si>
  <si>
    <t>AN22TNTL130</t>
  </si>
  <si>
    <t>Elionurus bilinguis</t>
  </si>
  <si>
    <t>William R Anderson 9410</t>
  </si>
  <si>
    <t>AN21TSTL0197</t>
  </si>
  <si>
    <t>Elionurus ciliaris</t>
  </si>
  <si>
    <t>KEW 241557</t>
  </si>
  <si>
    <t>AN20TSCR000218</t>
  </si>
  <si>
    <t>Elionurus citreus</t>
  </si>
  <si>
    <t>AQ0830601</t>
  </si>
  <si>
    <t>AN21TNTL0124</t>
  </si>
  <si>
    <t>Elionurus elegans</t>
  </si>
  <si>
    <t>C. Vander Berghen 7324</t>
  </si>
  <si>
    <t>AN21TNTL0123</t>
  </si>
  <si>
    <t>Elionurus hirtifolius</t>
  </si>
  <si>
    <t>John M Fay 6442</t>
  </si>
  <si>
    <t>AN21TS59</t>
  </si>
  <si>
    <t>AN21TSTL0059</t>
  </si>
  <si>
    <t>Elionurus muticus</t>
  </si>
  <si>
    <t>Welker 177</t>
  </si>
  <si>
    <t>AN20T185</t>
  </si>
  <si>
    <t>AN20TSCR000185</t>
  </si>
  <si>
    <t>Luke 16619</t>
  </si>
  <si>
    <t>MCRTL050</t>
  </si>
  <si>
    <t>AT20TN1MCRTL050</t>
  </si>
  <si>
    <t>Elionurus royleanus</t>
  </si>
  <si>
    <t>MSV 826a</t>
  </si>
  <si>
    <t>Et-Layton_Zhong168-DRAFT-PanAnd-1.0</t>
  </si>
  <si>
    <t>Elionurus tripsacoides</t>
  </si>
  <si>
    <t>Layton&amp;Zhong168</t>
  </si>
  <si>
    <t>MCRTL059</t>
  </si>
  <si>
    <t>AT20TN1MCRTL059</t>
  </si>
  <si>
    <t>Elymandra archaelymandra</t>
  </si>
  <si>
    <t>A. Blair Rains 11</t>
  </si>
  <si>
    <t>AN21TNTL0099</t>
  </si>
  <si>
    <t>Elymandra lithophila</t>
  </si>
  <si>
    <t>B.K. Simon; R.D. Kelly 1945</t>
  </si>
  <si>
    <t>AN21TNTL0125</t>
  </si>
  <si>
    <t>Anderson et al 35802</t>
  </si>
  <si>
    <t>AN21TNTL0366</t>
  </si>
  <si>
    <t>Elymandra subulata</t>
  </si>
  <si>
    <t>Jacques-Felix 7306</t>
  </si>
  <si>
    <t>Eragrostideae</t>
  </si>
  <si>
    <t>Eragrostidinae</t>
  </si>
  <si>
    <t>AN21TNTL0098</t>
  </si>
  <si>
    <t>Eremochloa attenuata</t>
  </si>
  <si>
    <t>Traiperm 162</t>
  </si>
  <si>
    <t>Ratzeburgiinae</t>
  </si>
  <si>
    <t>MCRTL019</t>
  </si>
  <si>
    <t>AT20TS1MCRTL019</t>
  </si>
  <si>
    <t>Eremochloa ciliaris</t>
  </si>
  <si>
    <t>Traiperm 524</t>
  </si>
  <si>
    <t>MCRTL022</t>
  </si>
  <si>
    <t>AT20TS1MCRTL022</t>
  </si>
  <si>
    <t>Eremochloa eriopoda</t>
  </si>
  <si>
    <t>Traiperm 591</t>
  </si>
  <si>
    <t>AN21TNTL0097</t>
  </si>
  <si>
    <t>Eremochloa lanceolata</t>
  </si>
  <si>
    <t>Traiperm 584</t>
  </si>
  <si>
    <t>AN21TS22</t>
  </si>
  <si>
    <t>AN21TSTL0022</t>
  </si>
  <si>
    <t>Eremochloa ophiuroides</t>
  </si>
  <si>
    <t>W6 55858</t>
  </si>
  <si>
    <t>AN21TS21</t>
  </si>
  <si>
    <t>AN21TSTL0021</t>
  </si>
  <si>
    <t>Eremochloa zeylanica</t>
  </si>
  <si>
    <t>PI 647884</t>
  </si>
  <si>
    <t>AT20TS1MCRTL004</t>
  </si>
  <si>
    <t>Eremopogon foveolatus</t>
  </si>
  <si>
    <t>Kellogg PI 302076</t>
  </si>
  <si>
    <t>AN21TNTL0363</t>
  </si>
  <si>
    <t>Erianthus giganteus</t>
  </si>
  <si>
    <t>Harrey 8098</t>
  </si>
  <si>
    <t>AN21TSTL0225</t>
  </si>
  <si>
    <t>Eriochrysis cayennensis</t>
  </si>
  <si>
    <t>AUB &amp; Bookout 109</t>
  </si>
  <si>
    <t>AN21TS62</t>
  </si>
  <si>
    <t>AN21TSTL0062</t>
  </si>
  <si>
    <t>Eriochrysis holcoides</t>
  </si>
  <si>
    <t>Welker 505-A</t>
  </si>
  <si>
    <t>AN21TS60</t>
  </si>
  <si>
    <t>AN21TSTL0060</t>
  </si>
  <si>
    <t>Eriochrysis laxa</t>
  </si>
  <si>
    <t>Welker 487-9</t>
  </si>
  <si>
    <t>AN21TS61</t>
  </si>
  <si>
    <t>AN21TSTL0061</t>
  </si>
  <si>
    <t>Eriochrysis villosa</t>
  </si>
  <si>
    <t>Welker 488-4</t>
  </si>
  <si>
    <t>MCRTL003</t>
  </si>
  <si>
    <t>AT20TS1MCRTL003</t>
  </si>
  <si>
    <t>Euclasta condylotricha</t>
  </si>
  <si>
    <t>Pasquet 1245</t>
  </si>
  <si>
    <t>AN22TNTL056</t>
  </si>
  <si>
    <t>Eulalia annua</t>
  </si>
  <si>
    <t>MO Rankin 1262</t>
  </si>
  <si>
    <t>AN21TSTL0198</t>
  </si>
  <si>
    <t>Eulalia aurea</t>
  </si>
  <si>
    <t>PI 249139</t>
  </si>
  <si>
    <t>AN21TNTL0093</t>
  </si>
  <si>
    <t>Eulalia monostachya</t>
  </si>
  <si>
    <t>Traiperm et al 588</t>
  </si>
  <si>
    <t>AN20T193</t>
  </si>
  <si>
    <t>AN20TSCR000193</t>
  </si>
  <si>
    <t>Eulalia polyneura</t>
  </si>
  <si>
    <t>Osborne 914</t>
  </si>
  <si>
    <t>AN21TS38</t>
  </si>
  <si>
    <t>AN21TSTL0038</t>
  </si>
  <si>
    <t>Pasquet 1239</t>
  </si>
  <si>
    <t>AN21TNTL0129</t>
  </si>
  <si>
    <t>Eulalia quadrinervis</t>
  </si>
  <si>
    <t>JRI Wood 6012</t>
  </si>
  <si>
    <t>MCRTL015</t>
  </si>
  <si>
    <t>AT20TS1MCRTL015</t>
  </si>
  <si>
    <t>Eulaliopsis binata</t>
  </si>
  <si>
    <t>Traiperm 567</t>
  </si>
  <si>
    <t>AN21TNTL0148</t>
  </si>
  <si>
    <t>Exotheca abyssinica</t>
  </si>
  <si>
    <t>Davidse 9215</t>
  </si>
  <si>
    <t>AN21TNTL0126</t>
  </si>
  <si>
    <t>Germainia capitata</t>
  </si>
  <si>
    <t>Sharpe and Elsol 2660</t>
  </si>
  <si>
    <t>Germainiinae</t>
  </si>
  <si>
    <t>AN21TNTL0128</t>
  </si>
  <si>
    <t>Germainia truncatiglumis</t>
  </si>
  <si>
    <t>Leach and Walsh 4429</t>
  </si>
  <si>
    <t>Guaduinae</t>
  </si>
  <si>
    <t>MCRTL053</t>
  </si>
  <si>
    <t>AT20TN1MCRTL053</t>
  </si>
  <si>
    <t>Hackelochloa granularis</t>
  </si>
  <si>
    <t>Pasquet 1113</t>
  </si>
  <si>
    <t>AN21TSTL0234</t>
  </si>
  <si>
    <t>Hackelochloa porifera</t>
  </si>
  <si>
    <t>Traiperm et al 009</t>
  </si>
  <si>
    <t>AN20T190</t>
  </si>
  <si>
    <t>AN20TSCR000190</t>
  </si>
  <si>
    <t>Hemarthria altissima</t>
  </si>
  <si>
    <t>MSV 2091</t>
  </si>
  <si>
    <t>Hp-KelloggPI404118-DRAFT-PanAnd-1.0</t>
  </si>
  <si>
    <t>Hemarthria compressa</t>
  </si>
  <si>
    <t>KelloggPI404118</t>
  </si>
  <si>
    <t>AN21TNTL0333</t>
  </si>
  <si>
    <t>Hemarthria sibirica</t>
  </si>
  <si>
    <t>S. Tsugaru, M. Miyahara 26676</t>
  </si>
  <si>
    <t>AN20T019</t>
  </si>
  <si>
    <t>AN20TSCR000201</t>
  </si>
  <si>
    <t>Hemarthria uncinata</t>
  </si>
  <si>
    <t>AQ0339056</t>
  </si>
  <si>
    <t>MCRTL010</t>
  </si>
  <si>
    <t>AT20TS1MCRTL010</t>
  </si>
  <si>
    <t>Hemisorghum mekongense</t>
  </si>
  <si>
    <t>Traiperm 569</t>
  </si>
  <si>
    <t>AN21TSTL0230</t>
  </si>
  <si>
    <t>Heteropholis sulcata</t>
  </si>
  <si>
    <t>Pasquet 1179</t>
  </si>
  <si>
    <t>Hc-AUB53_1-DRAFT-PanAnd-1.0</t>
  </si>
  <si>
    <t>Heteropogon contortus</t>
  </si>
  <si>
    <t>AUB53</t>
  </si>
  <si>
    <t>AN20T007</t>
  </si>
  <si>
    <t>AN20TSCR000211</t>
  </si>
  <si>
    <t>AUB &amp; Bookout 102</t>
  </si>
  <si>
    <t>AN20T020</t>
  </si>
  <si>
    <t>AN20TSCR000221</t>
  </si>
  <si>
    <t>Heteropogon melanocarpus</t>
  </si>
  <si>
    <t>NOP 139</t>
  </si>
  <si>
    <t>AN20T191</t>
  </si>
  <si>
    <t>AN20TSCR000191</t>
  </si>
  <si>
    <t>Nanjarisoa 139</t>
  </si>
  <si>
    <t>AN20T010</t>
  </si>
  <si>
    <t>AN20TSCR000214</t>
  </si>
  <si>
    <t>Heteropogon triticeus</t>
  </si>
  <si>
    <t>AQ0725658</t>
  </si>
  <si>
    <t>MCRTL006</t>
  </si>
  <si>
    <t>AT20TS1MCRTL006</t>
  </si>
  <si>
    <t>HUG814</t>
  </si>
  <si>
    <t>Hsuehochloinae</t>
  </si>
  <si>
    <t>AN21TNTL0329</t>
  </si>
  <si>
    <t>Hyparrhenia arrhenobasis</t>
  </si>
  <si>
    <t>JW Ash 2696</t>
  </si>
  <si>
    <t>AN21TNTL0328</t>
  </si>
  <si>
    <t>Hyparrhenia barteri</t>
  </si>
  <si>
    <t>AB Katende K2324</t>
  </si>
  <si>
    <t>AT20TN1MCRTL026</t>
  </si>
  <si>
    <t>Hyparrhenia bracteata</t>
  </si>
  <si>
    <t>MSV 1664</t>
  </si>
  <si>
    <t>AN21TNTL0334</t>
  </si>
  <si>
    <t>Hyparrhenia collina</t>
  </si>
  <si>
    <t>Heady 1740</t>
  </si>
  <si>
    <t>AN21TNTL0335</t>
  </si>
  <si>
    <t>Hyparrhenia confinis</t>
  </si>
  <si>
    <t>JJFE de Wilde 263</t>
  </si>
  <si>
    <t>MCRTL055</t>
  </si>
  <si>
    <t>AT20TN1MCRTL055</t>
  </si>
  <si>
    <t>Michael Jensen; Ib Friis; Menassie Gashaw; Fantahun Simon; Lemessa Keneei B1/19</t>
  </si>
  <si>
    <t>AN21TNTL0336</t>
  </si>
  <si>
    <t>Hyparrhenia cyanescens</t>
  </si>
  <si>
    <t>Hall and Duodu 42178</t>
  </si>
  <si>
    <t>AN21TSTL0269</t>
  </si>
  <si>
    <t>Hyparrhenia cymbaria</t>
  </si>
  <si>
    <t>Kayombo; Soah; Kikoti; Wisa 9977</t>
  </si>
  <si>
    <t>AN21TNTL0327</t>
  </si>
  <si>
    <t>Hyparrhenia dichroa</t>
  </si>
  <si>
    <t>Kayombo 1010</t>
  </si>
  <si>
    <t>AT20TN1MCRTL070</t>
  </si>
  <si>
    <t>Hyparrhenia figariana</t>
  </si>
  <si>
    <t>M. Reekmans 11042</t>
  </si>
  <si>
    <t>AN21TSTL0268</t>
  </si>
  <si>
    <t>Hyparrhenia filipendula</t>
  </si>
  <si>
    <t>Rwaburindore 5066</t>
  </si>
  <si>
    <t>AN21TS40</t>
  </si>
  <si>
    <t>AN21TSTL0040</t>
  </si>
  <si>
    <t>Hyparrhenia finitima</t>
  </si>
  <si>
    <t>Pasquet 1244</t>
  </si>
  <si>
    <t>AN21TNTL0321</t>
  </si>
  <si>
    <t>Hyparrhenia gazensis</t>
  </si>
  <si>
    <t>Rwaburindere 1121</t>
  </si>
  <si>
    <t>MCRTL037</t>
  </si>
  <si>
    <t>AT20TN1MCRTL037</t>
  </si>
  <si>
    <t>Hyparrhenia glabriuscula</t>
  </si>
  <si>
    <t>John Sihvonen 239</t>
  </si>
  <si>
    <t>AN21TNTL0320</t>
  </si>
  <si>
    <t>Hyparrhenia griffithii</t>
  </si>
  <si>
    <t>AO Crook 2076</t>
  </si>
  <si>
    <t>AN21TSTL0199</t>
  </si>
  <si>
    <t>Hyparrhenia hirta</t>
  </si>
  <si>
    <t>PI 315595</t>
  </si>
  <si>
    <t>MCRTL064</t>
  </si>
  <si>
    <t>AT20TN1MCRTL064</t>
  </si>
  <si>
    <t>Hyparrhenia involucrata</t>
  </si>
  <si>
    <t>Fay 5796</t>
  </si>
  <si>
    <t>AT20TN1MCRTL029</t>
  </si>
  <si>
    <t>Hyparrhenia madaropoda</t>
  </si>
  <si>
    <t>Reekmans 6922</t>
  </si>
  <si>
    <t>AN20T192</t>
  </si>
  <si>
    <t>AN20TSCR000192</t>
  </si>
  <si>
    <t>Hyparrhenia mobukensis</t>
  </si>
  <si>
    <t>JO 1086</t>
  </si>
  <si>
    <t>AN21TSTL0042</t>
  </si>
  <si>
    <t>Hyparrhenia newtonii</t>
  </si>
  <si>
    <t>Pasquet 1219</t>
  </si>
  <si>
    <t>AN21TNTL0319</t>
  </si>
  <si>
    <t>Hyparrhenia niariensis</t>
  </si>
  <si>
    <t>Fay 5823</t>
  </si>
  <si>
    <t>AN22TNTL132</t>
  </si>
  <si>
    <t>Hyparrhenia nyassae</t>
  </si>
  <si>
    <t>Pasquet 1168</t>
  </si>
  <si>
    <t>AN21TNTL0318</t>
  </si>
  <si>
    <t>Hyparrhenia pilgeriana</t>
  </si>
  <si>
    <t>Rwaburindore 3886</t>
  </si>
  <si>
    <t>AN21TNTL0316</t>
  </si>
  <si>
    <t>Hyparrhenia rudis</t>
  </si>
  <si>
    <t>Simon 2195</t>
  </si>
  <si>
    <t>AN20TSCR000212</t>
  </si>
  <si>
    <t>Hyparrhenia rufa</t>
  </si>
  <si>
    <t>AUB &amp; Bookout 103</t>
  </si>
  <si>
    <t>AN21TS10</t>
  </si>
  <si>
    <t>AN21TSTL0010</t>
  </si>
  <si>
    <t>AUB 129</t>
  </si>
  <si>
    <t>AT20TN1MCRTL056</t>
  </si>
  <si>
    <t>Hyparrhenia schimperi</t>
  </si>
  <si>
    <t>K.E. Bennett 283138</t>
  </si>
  <si>
    <t>AN21TNTL0324</t>
  </si>
  <si>
    <t>Hyparrhenia subplumosa</t>
  </si>
  <si>
    <t>Soladoye BO251</t>
  </si>
  <si>
    <t>MCRTL067</t>
  </si>
  <si>
    <t>AT20TN1MCRTL067</t>
  </si>
  <si>
    <t>Hyparrhenia umbrosa</t>
  </si>
  <si>
    <t>A.J.M. Leeuwenberg 8667</t>
  </si>
  <si>
    <t>AN21TNTL0322</t>
  </si>
  <si>
    <t>Hyparrhenia welwitschii</t>
  </si>
  <si>
    <t>Fay 5851</t>
  </si>
  <si>
    <t>MCRTL013</t>
  </si>
  <si>
    <t>AT20TS1MCRTL013</t>
  </si>
  <si>
    <t>Hyperthelia dissoluta</t>
  </si>
  <si>
    <t>Kellogg 1137</t>
  </si>
  <si>
    <t>AN21TSTL0214</t>
  </si>
  <si>
    <t>Imperata brasiliensis</t>
  </si>
  <si>
    <t>Welker 599</t>
  </si>
  <si>
    <t>AN21TS12</t>
  </si>
  <si>
    <t>AN21TSTL0012</t>
  </si>
  <si>
    <t>Imperata cylindrica</t>
  </si>
  <si>
    <t>AUB 125</t>
  </si>
  <si>
    <t>AN21TS63</t>
  </si>
  <si>
    <t>AN21TSTL0063</t>
  </si>
  <si>
    <t>Imperata tenuis</t>
  </si>
  <si>
    <t>Welker 494-2</t>
  </si>
  <si>
    <t>AN21TNTL0311</t>
  </si>
  <si>
    <t>Ischaemum amethystinum</t>
  </si>
  <si>
    <t>J. Lewalle 1714</t>
  </si>
  <si>
    <t>AN20T015</t>
  </si>
  <si>
    <t>AN20TSCR000217</t>
  </si>
  <si>
    <t>Ischaemum australe</t>
  </si>
  <si>
    <t>KRM 9143</t>
  </si>
  <si>
    <t>AN21TSTL0267</t>
  </si>
  <si>
    <t>Ischaemum barbatum</t>
  </si>
  <si>
    <t>Hu; But 22744</t>
  </si>
  <si>
    <t>AN22TNTL073</t>
  </si>
  <si>
    <t>Ischaemum bolei</t>
  </si>
  <si>
    <t>Almeida 1535A</t>
  </si>
  <si>
    <t>AN21TNTL0163</t>
  </si>
  <si>
    <t>Ischaemum byrone</t>
  </si>
  <si>
    <t>Perlman 22941</t>
  </si>
  <si>
    <t>AN21TSTL0266</t>
  </si>
  <si>
    <t>Ischaemum decumbens</t>
  </si>
  <si>
    <t>DJ Dixon 1819</t>
  </si>
  <si>
    <t>AN21TNTL0161</t>
  </si>
  <si>
    <t>Ischaemum glaucescens</t>
  </si>
  <si>
    <t>Beaman 10818</t>
  </si>
  <si>
    <t>AN21TNTL0171</t>
  </si>
  <si>
    <t>AN20TSCR000229</t>
  </si>
  <si>
    <t>Ischaemum heterotrichum</t>
  </si>
  <si>
    <t>MSV 1893</t>
  </si>
  <si>
    <t>MCRTL021</t>
  </si>
  <si>
    <t>AT20TS1MCRTL021</t>
  </si>
  <si>
    <t>Ischaemum hubbardii</t>
  </si>
  <si>
    <t>Traiperm &amp; Layton 538</t>
  </si>
  <si>
    <t>AN21TNTL0138</t>
  </si>
  <si>
    <t>Ischaemum koenigii</t>
  </si>
  <si>
    <t>Pasquet 1196</t>
  </si>
  <si>
    <t>AN20T195</t>
  </si>
  <si>
    <t>AN20TSCR000195</t>
  </si>
  <si>
    <t>Ischaemum koleostachys</t>
  </si>
  <si>
    <t>MSV 1299</t>
  </si>
  <si>
    <t>AN22TNTL151</t>
  </si>
  <si>
    <t>Ischaemum nativitatis</t>
  </si>
  <si>
    <t>Powell 1310</t>
  </si>
  <si>
    <t>AN20T196</t>
  </si>
  <si>
    <t>AN20TSCR000196</t>
  </si>
  <si>
    <t>Ischaemum polystachyum</t>
  </si>
  <si>
    <t>Nanjarisoa 99</t>
  </si>
  <si>
    <t>AN21TNTL0174</t>
  </si>
  <si>
    <t>AN20TSCR000233</t>
  </si>
  <si>
    <t>NOP 99</t>
  </si>
  <si>
    <t>AN22TNTL124</t>
  </si>
  <si>
    <t>Ischaemum rangacharianum</t>
  </si>
  <si>
    <t>Ravi 24092</t>
  </si>
  <si>
    <t>Ir-Pasquet1136-DRAFT-PanAnd-1.0</t>
  </si>
  <si>
    <t>Ischaemum rugosum</t>
  </si>
  <si>
    <t>Pasquet1136</t>
  </si>
  <si>
    <t>AN21TNTL0309</t>
  </si>
  <si>
    <t>Ischaemum timorense</t>
  </si>
  <si>
    <t>Santamaria; Solano 3580</t>
  </si>
  <si>
    <t>AN21TNTL0308</t>
  </si>
  <si>
    <t>Iseilema ciliatum</t>
  </si>
  <si>
    <t>PK Latz 5428</t>
  </si>
  <si>
    <t>AN21TNTL0314</t>
  </si>
  <si>
    <t>Iseilema fragile</t>
  </si>
  <si>
    <t>SR Hirst 36</t>
  </si>
  <si>
    <t>AN21TS32</t>
  </si>
  <si>
    <t>AN21TSTL0032</t>
  </si>
  <si>
    <t>Iseilema macratherum</t>
  </si>
  <si>
    <t>PI 257760</t>
  </si>
  <si>
    <t>AN21TS33</t>
  </si>
  <si>
    <t>AN21TSTL0033</t>
  </si>
  <si>
    <t>Iseilema membranaceum</t>
  </si>
  <si>
    <t>PI 240840</t>
  </si>
  <si>
    <t>AN21TNTL0167</t>
  </si>
  <si>
    <t>Iseilema vaginiflorum</t>
  </si>
  <si>
    <t>MRK Lambert 834</t>
  </si>
  <si>
    <t>AN22TNTL150</t>
  </si>
  <si>
    <t>Iseilema venkateswarlui</t>
  </si>
  <si>
    <t>Satyavathi IA94</t>
  </si>
  <si>
    <t>MCRTL008</t>
  </si>
  <si>
    <t>AT20TS1MCRTL008</t>
  </si>
  <si>
    <t>Kerriochloa siamensis</t>
  </si>
  <si>
    <t>Traiperm 581</t>
  </si>
  <si>
    <t>AN20T024</t>
  </si>
  <si>
    <t>AN20TSCR000223</t>
  </si>
  <si>
    <t>Lasiorhachis hildebrandtii</t>
  </si>
  <si>
    <t>NOP 146</t>
  </si>
  <si>
    <t>AN20T023</t>
  </si>
  <si>
    <t>AN20TSCR000203</t>
  </si>
  <si>
    <t>Lasiorhachis perrieri</t>
  </si>
  <si>
    <t>NOP 140</t>
  </si>
  <si>
    <t>AN20T025</t>
  </si>
  <si>
    <t>AN20TSCR000224</t>
  </si>
  <si>
    <t>Lasiorhachis viguieri</t>
  </si>
  <si>
    <t>NOP 76</t>
  </si>
  <si>
    <t>AN21TNTL0121</t>
  </si>
  <si>
    <t>Lasiurus scindicus</t>
  </si>
  <si>
    <t>Kew 496070</t>
  </si>
  <si>
    <t>AN22TNTL163</t>
  </si>
  <si>
    <t>Microstegium delicatulum</t>
  </si>
  <si>
    <t>CE Parkinson 8712</t>
  </si>
  <si>
    <t>AN21TNTL0154</t>
  </si>
  <si>
    <t>Microstegium fasciculatum</t>
  </si>
  <si>
    <t>CF van Beusekom et al 4092</t>
  </si>
  <si>
    <t>AN21TNTL0153</t>
  </si>
  <si>
    <t>Microstegium geniculatum</t>
  </si>
  <si>
    <t>Hsiu-Lan Ho 920</t>
  </si>
  <si>
    <t>AN21TSTL0261</t>
  </si>
  <si>
    <t>Microstegium japonicum</t>
  </si>
  <si>
    <t>Tsugaru; Takahashi 24277</t>
  </si>
  <si>
    <t>AN20T041</t>
  </si>
  <si>
    <t>AN20TSCR000207</t>
  </si>
  <si>
    <t>Microstegium nudum</t>
  </si>
  <si>
    <t>MSV 1917</t>
  </si>
  <si>
    <t>AN21TSTL0200</t>
  </si>
  <si>
    <t>IC 6</t>
  </si>
  <si>
    <t>AN21TSTL0007</t>
  </si>
  <si>
    <t>PI 668370</t>
  </si>
  <si>
    <t>AN21TNTL0157</t>
  </si>
  <si>
    <t>Miscanthus nepalensis</t>
  </si>
  <si>
    <t>Zhang; Zhi-ying 13942</t>
  </si>
  <si>
    <t>AN21TNTL0156</t>
  </si>
  <si>
    <t>Miscanthus oligostachyus</t>
  </si>
  <si>
    <t>H Koyama; Y Huzimoto 708</t>
  </si>
  <si>
    <t>AN21TNTL0151</t>
  </si>
  <si>
    <t>J Solomon 1193</t>
  </si>
  <si>
    <t>AN21TSTL0210</t>
  </si>
  <si>
    <t>Takahashi; Tsugaru; Sawada 30253</t>
  </si>
  <si>
    <t>AN21TNTL0096</t>
  </si>
  <si>
    <t>Miscanthus violaceus</t>
  </si>
  <si>
    <t>Pasquet 1173-A</t>
  </si>
  <si>
    <t>AN20T018</t>
  </si>
  <si>
    <t>AN20TSCR000220</t>
  </si>
  <si>
    <t>Mnesithea formosa</t>
  </si>
  <si>
    <t>KRM 18023</t>
  </si>
  <si>
    <t>AN22TNTL133</t>
  </si>
  <si>
    <t>Mnesithea mollicoma</t>
  </si>
  <si>
    <t>P Traiperm &amp; Layton 556</t>
  </si>
  <si>
    <t>Orcuttiinae</t>
  </si>
  <si>
    <t>Olyreae</t>
  </si>
  <si>
    <t>Olyrinae</t>
  </si>
  <si>
    <t>AN21TNTL0359</t>
  </si>
  <si>
    <t>Oxyrhachis gracillima</t>
  </si>
  <si>
    <t>L Smook 6050</t>
  </si>
  <si>
    <t>Rhytachninae</t>
  </si>
  <si>
    <t>Panicinae</t>
  </si>
  <si>
    <t>MCRTL018</t>
  </si>
  <si>
    <t>AT20TS1MCRTL018</t>
  </si>
  <si>
    <t>Parahyparrhenia siamensis</t>
  </si>
  <si>
    <t>Traiperm 583</t>
  </si>
  <si>
    <t>AN21TNTL0090</t>
  </si>
  <si>
    <t>Phacelurus franksiae</t>
  </si>
  <si>
    <t>Pasquet 1257</t>
  </si>
  <si>
    <t>AN21TSTL0228</t>
  </si>
  <si>
    <t>Phacelurus gabonensis</t>
  </si>
  <si>
    <t>Pasquet 1224</t>
  </si>
  <si>
    <t>AN22TNTL010</t>
  </si>
  <si>
    <t>Phacelurus huillensis</t>
  </si>
  <si>
    <t>Malcomber, Sitoni, Hemingway SM3100http://legacy.tropicos.org/Specimen/100382636</t>
  </si>
  <si>
    <t>AN21TSTL0229</t>
  </si>
  <si>
    <t>Phacelurus schliebenii</t>
  </si>
  <si>
    <t>Pasquet 1254</t>
  </si>
  <si>
    <t>AN21TNTL0365</t>
  </si>
  <si>
    <t>Phacelurus zea</t>
  </si>
  <si>
    <t>CF van Beusekom 4267</t>
  </si>
  <si>
    <t>outgroup</t>
  </si>
  <si>
    <t>Pharoideae</t>
  </si>
  <si>
    <t>Phareae</t>
  </si>
  <si>
    <t>Pi-Clark-DRAFT-PanAnd-1.0</t>
  </si>
  <si>
    <t>Pogonatherum paniceum</t>
  </si>
  <si>
    <t>Clark</t>
  </si>
  <si>
    <t>MCRTL005</t>
  </si>
  <si>
    <t>AT20TS1MCRTL005</t>
  </si>
  <si>
    <t>Polytoca digitata</t>
  </si>
  <si>
    <t>Traiperm &amp; Layton 520</t>
  </si>
  <si>
    <t>Chionachninae</t>
  </si>
  <si>
    <t>AN22TNTL080</t>
  </si>
  <si>
    <t>Polytoca massiei</t>
  </si>
  <si>
    <t>Laegaard &amp; Norsangsri 21717</t>
  </si>
  <si>
    <t>AN21TSTL0181</t>
  </si>
  <si>
    <t>Polytrias indica</t>
  </si>
  <si>
    <t>Traiperm et al 570</t>
  </si>
  <si>
    <t>AN21TSTL0282</t>
  </si>
  <si>
    <t>Pseudodichanthium serrafalcoides</t>
  </si>
  <si>
    <t>PI 302063</t>
  </si>
  <si>
    <t>AN21TNTL0089</t>
  </si>
  <si>
    <t>Pseudopogonatherum contortum</t>
  </si>
  <si>
    <t>Traiperm et al 573</t>
  </si>
  <si>
    <t>MCRTL033</t>
  </si>
  <si>
    <t>AT20TN1MCRTL033</t>
  </si>
  <si>
    <t>Pseudosorghum fasciculare</t>
  </si>
  <si>
    <t>Traiperm et al. 512</t>
  </si>
  <si>
    <t>Arthrostylidiinae</t>
  </si>
  <si>
    <t>AN21TNTL0355</t>
  </si>
  <si>
    <t>Rhytachne glabra</t>
  </si>
  <si>
    <t>Bidault, Diabate, Mas 266</t>
  </si>
  <si>
    <t>AN21TNTL0356</t>
  </si>
  <si>
    <t>Rhytachne gonzalezii</t>
  </si>
  <si>
    <t>Ortiz, Ramia 3244</t>
  </si>
  <si>
    <t>AN22TNTL086</t>
  </si>
  <si>
    <t>Rhytachne gracilis</t>
  </si>
  <si>
    <t>IG Adam 12524</t>
  </si>
  <si>
    <t>AN22TNTL143</t>
  </si>
  <si>
    <t>Rhytachne megastachya</t>
  </si>
  <si>
    <t>CCH Jongkind 8333</t>
  </si>
  <si>
    <t>AN22TNTL087</t>
  </si>
  <si>
    <t>Rhytachne perfecta</t>
  </si>
  <si>
    <t>Jennings 2</t>
  </si>
  <si>
    <t>Rr-Malcomber3106-DRAFT-PanAnd-1.0</t>
  </si>
  <si>
    <t>Rhytachne rottboellioides</t>
  </si>
  <si>
    <t>Malcomber3106</t>
  </si>
  <si>
    <t>AN21TNTL0354</t>
  </si>
  <si>
    <t>Rhytachne triaristata</t>
  </si>
  <si>
    <t>Fay 5893</t>
  </si>
  <si>
    <t>AN21TNTL0095</t>
  </si>
  <si>
    <t>Rottboellia afraurita</t>
  </si>
  <si>
    <t>Pasquet 1156</t>
  </si>
  <si>
    <t>AN21TSTL0213</t>
  </si>
  <si>
    <t>Rottboellia aurita</t>
  </si>
  <si>
    <t>Welker 615-C</t>
  </si>
  <si>
    <t>AN22TNTL085</t>
  </si>
  <si>
    <t>Rottboellia balansae</t>
  </si>
  <si>
    <t>DC Zappi 3249</t>
  </si>
  <si>
    <t>MCRTL001</t>
  </si>
  <si>
    <t>AT20TS1MCRTL001</t>
  </si>
  <si>
    <t>Rottboellia campestris</t>
  </si>
  <si>
    <t>Kellogg 1258</t>
  </si>
  <si>
    <t>AN21TS43</t>
  </si>
  <si>
    <t>AN21TSTL0043</t>
  </si>
  <si>
    <t>Kew 286073</t>
  </si>
  <si>
    <t>AN22TNTL081</t>
  </si>
  <si>
    <t>Rottboellia cancellata</t>
  </si>
  <si>
    <t>Sorensen, Larsen, Hansen 2349</t>
  </si>
  <si>
    <t>MCRTL007</t>
  </si>
  <si>
    <t>AT20TS1MCRTL007</t>
  </si>
  <si>
    <t>Rottboellia cochinchinensis</t>
  </si>
  <si>
    <t>Layton and Zhong 158</t>
  </si>
  <si>
    <t>AN21TSTL0182</t>
  </si>
  <si>
    <t>Rottboellia helferi</t>
  </si>
  <si>
    <t>Traiperm 574</t>
  </si>
  <si>
    <t>AN22TNTL164</t>
  </si>
  <si>
    <t>Rottboellia impressa</t>
  </si>
  <si>
    <t>EL Ekman 1025</t>
  </si>
  <si>
    <t>MCRTL014</t>
  </si>
  <si>
    <t>AT20TS1MCRTL014</t>
  </si>
  <si>
    <t>Rottboellia rugosa</t>
  </si>
  <si>
    <t>Layton &amp; Zhong 162</t>
  </si>
  <si>
    <t>MCRTL016</t>
  </si>
  <si>
    <t>AT20TS1MCRTL016</t>
  </si>
  <si>
    <t>Rottboellia tessellata</t>
  </si>
  <si>
    <t>Layton &amp; Zhong 160</t>
  </si>
  <si>
    <t>Rt-Layton_Zhong169-DRAFT-PanAnd-1.0</t>
  </si>
  <si>
    <t>Rottboellia tuberculosa</t>
  </si>
  <si>
    <t>Layton &amp; Zhong 169</t>
  </si>
  <si>
    <t>AN21TS15</t>
  </si>
  <si>
    <t>AN21TSTL0015</t>
  </si>
  <si>
    <t>Saccharum alopecuroides</t>
  </si>
  <si>
    <t>AUB 132</t>
  </si>
  <si>
    <t>AN21TSTL0201</t>
  </si>
  <si>
    <t>IC 2</t>
  </si>
  <si>
    <t>AN21TS65</t>
  </si>
  <si>
    <t>AN21TSTL0065</t>
  </si>
  <si>
    <t>Saccharum angustifolium</t>
  </si>
  <si>
    <t>Welker 345</t>
  </si>
  <si>
    <t>AN22TNTL141</t>
  </si>
  <si>
    <t>Saccharum asperum</t>
  </si>
  <si>
    <t>HS Irwin et al 12544</t>
  </si>
  <si>
    <t>AN21TNTL0362</t>
  </si>
  <si>
    <t>Saccharum baldwinii</t>
  </si>
  <si>
    <t>R. Kral 64488</t>
  </si>
  <si>
    <t>AN21TSTL0009</t>
  </si>
  <si>
    <t>AUB 118</t>
  </si>
  <si>
    <t>AN21TSTL0202</t>
  </si>
  <si>
    <t>Saccharum contortum</t>
  </si>
  <si>
    <t>IC 4</t>
  </si>
  <si>
    <t>AN21TSTL0212</t>
  </si>
  <si>
    <t>Saccharum fallax</t>
  </si>
  <si>
    <t>Huq; Mia 10270</t>
  </si>
  <si>
    <t>AN22TNTL090</t>
  </si>
  <si>
    <t>Saccharum filifolium</t>
  </si>
  <si>
    <t>Rechinger 35755</t>
  </si>
  <si>
    <t>AN21TSTL0270</t>
  </si>
  <si>
    <t>Saccharum giganteum</t>
  </si>
  <si>
    <t>W6 57576</t>
  </si>
  <si>
    <t>AN22TNTL009</t>
  </si>
  <si>
    <t>Grayum, Herrera, Schatz 4034</t>
  </si>
  <si>
    <t>AN21TS26</t>
  </si>
  <si>
    <t>AN21TSTL0026</t>
  </si>
  <si>
    <t>Saccharum robustum</t>
  </si>
  <si>
    <t>PI 88670</t>
  </si>
  <si>
    <t>AN22TNTL092</t>
  </si>
  <si>
    <t>Saccharum sikkimense</t>
  </si>
  <si>
    <t>Grierson &amp; Long 2834</t>
  </si>
  <si>
    <t>AN21TSTL0204</t>
  </si>
  <si>
    <t>Saccharum sinense</t>
  </si>
  <si>
    <t>MIA 34057</t>
  </si>
  <si>
    <t>AN21TS64</t>
  </si>
  <si>
    <t>AN21TSTL0064</t>
  </si>
  <si>
    <t>Saccharum villosum</t>
  </si>
  <si>
    <t>Welker 520</t>
  </si>
  <si>
    <t>AN22TNTL093</t>
  </si>
  <si>
    <t>Saccharum williamsii</t>
  </si>
  <si>
    <t>Stainton, Sykes, Williams 4499</t>
  </si>
  <si>
    <t>MCRTL027</t>
  </si>
  <si>
    <t>AT20TN1MCRTL027</t>
  </si>
  <si>
    <t>Schizachyrium brevifolium</t>
  </si>
  <si>
    <t>Simon Laegaard 21753</t>
  </si>
  <si>
    <t>AN20T004</t>
  </si>
  <si>
    <t>AN20TSCR000198</t>
  </si>
  <si>
    <t>AUB &amp; Bookout 108</t>
  </si>
  <si>
    <t>MCRTL025</t>
  </si>
  <si>
    <t>AT20TN1MCRTL025</t>
  </si>
  <si>
    <t>Kellogg/Kew MSB 443797</t>
  </si>
  <si>
    <t>AT20TN1MCRTL048</t>
  </si>
  <si>
    <t>Schizachyrium cirratum</t>
  </si>
  <si>
    <t>Tellez V. 11596</t>
  </si>
  <si>
    <t>AN21TS66</t>
  </si>
  <si>
    <t>AN21TSTL0066</t>
  </si>
  <si>
    <t>Schizachyrium condensatum</t>
  </si>
  <si>
    <t>Welker 235</t>
  </si>
  <si>
    <t>AN21TNTL0352</t>
  </si>
  <si>
    <t>Schizachyrium crinizonatum</t>
  </si>
  <si>
    <t>BM Stuckey 281</t>
  </si>
  <si>
    <t>AN22TNTL158</t>
  </si>
  <si>
    <t>Schizachyrium cubense</t>
  </si>
  <si>
    <t>EL Ekman 12147</t>
  </si>
  <si>
    <t>AN21TNTL0345</t>
  </si>
  <si>
    <t>Li Heng 9029</t>
  </si>
  <si>
    <t>MCRTL063</t>
  </si>
  <si>
    <t>AT20TN1MCRTL063</t>
  </si>
  <si>
    <t>Schizachyrium delicatum</t>
  </si>
  <si>
    <t>John M. Fay 5914</t>
  </si>
  <si>
    <t>MCRTL035</t>
  </si>
  <si>
    <t>AT20TN1MCRTL035</t>
  </si>
  <si>
    <t>Schizachyrium exile</t>
  </si>
  <si>
    <t>S. Bidgood; K. Hoenselaar; G. Leliyo; &amp; K. Vollesen 5825</t>
  </si>
  <si>
    <t>MCRTL062</t>
  </si>
  <si>
    <t>AT20TN1MCRTL062</t>
  </si>
  <si>
    <t>Schizachyrium fragile</t>
  </si>
  <si>
    <t>Henkvanderwerff 11529</t>
  </si>
  <si>
    <t>AN21TS67</t>
  </si>
  <si>
    <t>AN21TSTL0067</t>
  </si>
  <si>
    <t>Schizachyrium glaziovii</t>
  </si>
  <si>
    <t>Welker 416</t>
  </si>
  <si>
    <t>AN22TNTL146</t>
  </si>
  <si>
    <t>Schizachyrium gracile</t>
  </si>
  <si>
    <t>WE Harmon, JD Dwyer 2795</t>
  </si>
  <si>
    <t>AN21TS68</t>
  </si>
  <si>
    <t>AN21TSTL0068</t>
  </si>
  <si>
    <t>Schizachyrium gracilipes</t>
  </si>
  <si>
    <t>Welker 600-A</t>
  </si>
  <si>
    <t>MCRTL061</t>
  </si>
  <si>
    <t>AT20TN1MCRTL061</t>
  </si>
  <si>
    <t>Schizachyrium gresicola</t>
  </si>
  <si>
    <t>Jacques-Felix 7171</t>
  </si>
  <si>
    <t>AN21TS69</t>
  </si>
  <si>
    <t>AN21TSTL0069</t>
  </si>
  <si>
    <t>Schizachyrium hatschbachii</t>
  </si>
  <si>
    <t>Welker 423</t>
  </si>
  <si>
    <t>AN21TNTL0137</t>
  </si>
  <si>
    <t>Schizachyrium jeffreysii</t>
  </si>
  <si>
    <t>Pasquet 1204</t>
  </si>
  <si>
    <t>AN22TNTL159</t>
  </si>
  <si>
    <t>Schizachyrium kwiluense</t>
  </si>
  <si>
    <t>H Vanderyst 4724</t>
  </si>
  <si>
    <t>MCRTL049</t>
  </si>
  <si>
    <t>AT20TN1MCRTL049</t>
  </si>
  <si>
    <t>Schizachyrium lomaense</t>
  </si>
  <si>
    <t>A.M.B. Feika; I. Darbyshire; R. Clark ; M.S. James 46</t>
  </si>
  <si>
    <t>AN21TNTL0343</t>
  </si>
  <si>
    <t>Schizachyrium maclaudii</t>
  </si>
  <si>
    <t>MSM Sosef 2717</t>
  </si>
  <si>
    <t>Sm-PI203595-DRAFT-PanAnd-1.0</t>
  </si>
  <si>
    <t>Schizachyrium microstachyum</t>
  </si>
  <si>
    <t>PI203595</t>
  </si>
  <si>
    <t>MCRTL069</t>
  </si>
  <si>
    <t>AT20TN1MCRTL069</t>
  </si>
  <si>
    <t>Kendall Lee 39</t>
  </si>
  <si>
    <t>AN21TNTL0344</t>
  </si>
  <si>
    <t>Schizachyrium nodulosum</t>
  </si>
  <si>
    <t>Oumorou 1103</t>
  </si>
  <si>
    <t>AN21TNTL0346</t>
  </si>
  <si>
    <t>Schizachyrium platyphyllum</t>
  </si>
  <si>
    <t>MSM Sosef 2718</t>
  </si>
  <si>
    <t>MCRTL030</t>
  </si>
  <si>
    <t>AT20TN1MCRTL030</t>
  </si>
  <si>
    <t>Schizachyrium pseudeulalia</t>
  </si>
  <si>
    <t>I.D. Cowie 11907</t>
  </si>
  <si>
    <t>AN21TNTL0347</t>
  </si>
  <si>
    <t>Schizachyrium pulchellum</t>
  </si>
  <si>
    <t>JJFF de Wilde 11158</t>
  </si>
  <si>
    <t>AT20TN1MCRTL038</t>
  </si>
  <si>
    <t>Schizachyrium reedii</t>
  </si>
  <si>
    <t>E.L. Ekman 17186</t>
  </si>
  <si>
    <t>AN21TS11</t>
  </si>
  <si>
    <t>AN21TSTL0011</t>
  </si>
  <si>
    <t>Schizachyrium rhizomatum</t>
  </si>
  <si>
    <t>AUB 128</t>
  </si>
  <si>
    <t>AN21TNTL0348</t>
  </si>
  <si>
    <t>Schizachyrium rupestre</t>
  </si>
  <si>
    <t>CCH Jongkind 3174</t>
  </si>
  <si>
    <t>AN22TNTL096</t>
  </si>
  <si>
    <t>Schizachyrium salzmannii</t>
  </si>
  <si>
    <t>Welker 357-1</t>
  </si>
  <si>
    <t>MCRTL052</t>
  </si>
  <si>
    <t>AT20TN1MCRTL052</t>
  </si>
  <si>
    <t>Schizachyrium sanguineum</t>
  </si>
  <si>
    <t>Pasquet 1167</t>
  </si>
  <si>
    <t>MCRTL039</t>
  </si>
  <si>
    <t>AT20TN1MCRTL039</t>
  </si>
  <si>
    <t>Pasquet 1177</t>
  </si>
  <si>
    <t>AT20TN1MCRTL034</t>
  </si>
  <si>
    <t>Liz Makings 3834</t>
  </si>
  <si>
    <t>AN21TSTL0070</t>
  </si>
  <si>
    <t>Schizachyrium scabriflorum</t>
  </si>
  <si>
    <t>Welker 585-A</t>
  </si>
  <si>
    <t>Ss-CAM1384-DRAFT-PanAnd-1.0</t>
  </si>
  <si>
    <t>Schizachyrium scoparium</t>
  </si>
  <si>
    <t>CAM1384</t>
  </si>
  <si>
    <t>AN21TNTL0341</t>
  </si>
  <si>
    <t>Schizachyrium semitectum</t>
  </si>
  <si>
    <t>Peterson; Garcia 20211</t>
  </si>
  <si>
    <t>AN21TS71</t>
  </si>
  <si>
    <t>AN21TSTL0071</t>
  </si>
  <si>
    <t>Schizachyrium spicatum</t>
  </si>
  <si>
    <t>Welker 580-A</t>
  </si>
  <si>
    <t>MCRTL060</t>
  </si>
  <si>
    <t>AT20TN1MCRTL060</t>
  </si>
  <si>
    <t>Elsa MatildeZardini &amp; Tulio Tilleria 38574</t>
  </si>
  <si>
    <t>AN21TNTL0339</t>
  </si>
  <si>
    <t>Schizachyrium sulcatum</t>
  </si>
  <si>
    <t>Killeen 2084</t>
  </si>
  <si>
    <t>AN21TSTL0072</t>
  </si>
  <si>
    <t>Schizachyrium tenerum</t>
  </si>
  <si>
    <t>Welker 427</t>
  </si>
  <si>
    <t>MCRTL066</t>
  </si>
  <si>
    <t>AT20TN1MCRTL066</t>
  </si>
  <si>
    <t>Schizachyrium thollonii</t>
  </si>
  <si>
    <t>L. Liben 3613</t>
  </si>
  <si>
    <t>MCRTL054</t>
  </si>
  <si>
    <t>AT20TN1MCRTL054</t>
  </si>
  <si>
    <t>Pasquet 1260</t>
  </si>
  <si>
    <t>AN21TNTL0353</t>
  </si>
  <si>
    <t>Sehima ischaemoides</t>
  </si>
  <si>
    <t>Bingham 479</t>
  </si>
  <si>
    <t>AN22TNTL144</t>
  </si>
  <si>
    <t>Sehima nervosa</t>
  </si>
  <si>
    <t>ID Cowie 12012</t>
  </si>
  <si>
    <t>AN22TNTL160</t>
  </si>
  <si>
    <t>Sehima sulcata</t>
  </si>
  <si>
    <t>Duthie 9968</t>
  </si>
  <si>
    <t>AN21TNTL0292</t>
  </si>
  <si>
    <t>Sorghastrum balansae</t>
  </si>
  <si>
    <t>Hassler 8420</t>
  </si>
  <si>
    <t>AN21TS27</t>
  </si>
  <si>
    <t>AN21TSTL0027</t>
  </si>
  <si>
    <t>Sorghastrum elliottii</t>
  </si>
  <si>
    <t>PI 674985</t>
  </si>
  <si>
    <t>AN21TNTL0091</t>
  </si>
  <si>
    <t>Sorghastrum fuscescens</t>
  </si>
  <si>
    <t>Pasquet 1241</t>
  </si>
  <si>
    <t>AN22TNTL148</t>
  </si>
  <si>
    <t>Sorghastrum incompletum</t>
  </si>
  <si>
    <t>ML Fonseca, RC MendonÔøΩa, BAS Pereira, E Cardoso</t>
  </si>
  <si>
    <t>AN20T026</t>
  </si>
  <si>
    <t>AN20TSCR000225</t>
  </si>
  <si>
    <t>Sorghastrum nudipes</t>
  </si>
  <si>
    <t>JO 1104</t>
  </si>
  <si>
    <t>Sn-CAM1369-DRAFT-PanAnd-1.0</t>
  </si>
  <si>
    <t>Sorghastrum nutans</t>
  </si>
  <si>
    <t>CAM1369</t>
  </si>
  <si>
    <t>AN21TSTL0275</t>
  </si>
  <si>
    <t>Sorghastrum pellitum</t>
  </si>
  <si>
    <t>PI 310307</t>
  </si>
  <si>
    <t>AN21TNTL0092</t>
  </si>
  <si>
    <t>Sorghastrum pogonostachyum</t>
  </si>
  <si>
    <t>Pasquet 1258</t>
  </si>
  <si>
    <t>AN21TS19</t>
  </si>
  <si>
    <t>AN21TSTL0019</t>
  </si>
  <si>
    <t>Sorghastrum secundum</t>
  </si>
  <si>
    <t>AUB 138</t>
  </si>
  <si>
    <t>AN21TS29</t>
  </si>
  <si>
    <t>AN21TSTL0029</t>
  </si>
  <si>
    <t>AUB 115</t>
  </si>
  <si>
    <t>AN21TSTL0207</t>
  </si>
  <si>
    <t>Sorghastrum stipoides</t>
  </si>
  <si>
    <t>Zardini and Velazquez 25569</t>
  </si>
  <si>
    <t>AN22TNTL147</t>
  </si>
  <si>
    <t>Sorghastrum viride</t>
  </si>
  <si>
    <t>JR Swallen 8617</t>
  </si>
  <si>
    <t>AN21TNTL0178</t>
  </si>
  <si>
    <t>AN20TSCR000210</t>
  </si>
  <si>
    <t>Sorghum arundinaceum</t>
  </si>
  <si>
    <t>AUB &amp; Bookout 106</t>
  </si>
  <si>
    <t>AN22TNTL165</t>
  </si>
  <si>
    <t>Sorghum controversum</t>
  </si>
  <si>
    <t>JD Snowden 2/1966</t>
  </si>
  <si>
    <t>AN21TNTL0301</t>
  </si>
  <si>
    <t>Sorghum intrans</t>
  </si>
  <si>
    <t>A-2785-I (cultivated)</t>
  </si>
  <si>
    <t>AN21TSTL0257</t>
  </si>
  <si>
    <t>Sorghum laxiflorum</t>
  </si>
  <si>
    <t>ID Cowie 11967</t>
  </si>
  <si>
    <t>AN21TNTL0304</t>
  </si>
  <si>
    <t>Sorghum matarankense</t>
  </si>
  <si>
    <t>ID Cowie 12798</t>
  </si>
  <si>
    <t>AN21TNTL0294</t>
  </si>
  <si>
    <t>Sorghum propinquum</t>
  </si>
  <si>
    <t>Davidse; Sumithraarachchi 8856</t>
  </si>
  <si>
    <t>AN21TSTL0256</t>
  </si>
  <si>
    <t>Sorghum stipoideum</t>
  </si>
  <si>
    <t>ID Cowie 12383</t>
  </si>
  <si>
    <t>AN21TNTL0291</t>
  </si>
  <si>
    <t>Sorghum timorense</t>
  </si>
  <si>
    <t>ID Cowie, SL Dillon 9568</t>
  </si>
  <si>
    <t>AN21TNTL0293</t>
  </si>
  <si>
    <t>Sorghum trichocladum</t>
  </si>
  <si>
    <t>Breedlove, Davidse 54623</t>
  </si>
  <si>
    <t>AN22TNTL152</t>
  </si>
  <si>
    <t>Sorghum versicolor</t>
  </si>
  <si>
    <t>P Kuchar 24498</t>
  </si>
  <si>
    <t>AN22TNTL088</t>
  </si>
  <si>
    <t>Sorghum virgatum</t>
  </si>
  <si>
    <t>Hepper 3033</t>
  </si>
  <si>
    <t>AN21TNTL0296</t>
  </si>
  <si>
    <t>Spodiopogon cotulifer</t>
  </si>
  <si>
    <t>S Tsugaru; Makoto Sawada 19481</t>
  </si>
  <si>
    <t>AN21TNTL0302</t>
  </si>
  <si>
    <t>Spodiopogon depauperatus</t>
  </si>
  <si>
    <t>S Tsugaru 13450</t>
  </si>
  <si>
    <t>AN21TNTL0299</t>
  </si>
  <si>
    <t>Spodiopogon duclouxii</t>
  </si>
  <si>
    <t>Wang Xi-qu 96182</t>
  </si>
  <si>
    <t>AN21TSTL0209</t>
  </si>
  <si>
    <t>Spodiopogon sibiricus</t>
  </si>
  <si>
    <t>Yujiro Horii 35787</t>
  </si>
  <si>
    <t>AN21TSTL0208</t>
  </si>
  <si>
    <t>Spodiopogon tainanensis</t>
  </si>
  <si>
    <t>RJ Soreng 5664</t>
  </si>
  <si>
    <t>Stipeae</t>
  </si>
  <si>
    <t>Stipinae</t>
  </si>
  <si>
    <t>Anomochlooideae</t>
  </si>
  <si>
    <t>Streptochaeteae</t>
  </si>
  <si>
    <t>AN22TNTL154</t>
  </si>
  <si>
    <t>Thaumastochloa major</t>
  </si>
  <si>
    <t>ID Cowie 12384</t>
  </si>
  <si>
    <t>AN21TNTL0135</t>
  </si>
  <si>
    <t>Thaumastochloa striata</t>
  </si>
  <si>
    <t>D.L. Lewis 886</t>
  </si>
  <si>
    <t>Te-Pasquet1246-DRAFT-PanAnd-1.0</t>
  </si>
  <si>
    <t>Thelepogon elegans</t>
  </si>
  <si>
    <t>Pasquet1246</t>
  </si>
  <si>
    <t>AN21TS18</t>
  </si>
  <si>
    <t>AN21TSTL0018</t>
  </si>
  <si>
    <t>Themeda anathera</t>
  </si>
  <si>
    <t>PI 369159</t>
  </si>
  <si>
    <t>AN22TNTL134</t>
  </si>
  <si>
    <t>Themeda arguens</t>
  </si>
  <si>
    <t>P Traiperm, M Norsaengsri, W Chaisongkram, Layton 595</t>
  </si>
  <si>
    <t>AN20T012</t>
  </si>
  <si>
    <t>AN20TSCR000216</t>
  </si>
  <si>
    <t>Themeda avenacea</t>
  </si>
  <si>
    <t>P.L. Harris 308</t>
  </si>
  <si>
    <t>AN21TSTL0258</t>
  </si>
  <si>
    <t>Themeda caudata</t>
  </si>
  <si>
    <t>Laegaard 21645B</t>
  </si>
  <si>
    <t>AN21TSTL0259</t>
  </si>
  <si>
    <t>Themeda hookeri</t>
  </si>
  <si>
    <t>DE Boufford et al 31057</t>
  </si>
  <si>
    <t>AN20T009</t>
  </si>
  <si>
    <t>AN20TSCR000213</t>
  </si>
  <si>
    <t>Themeda quadrivalvis</t>
  </si>
  <si>
    <t>A.B. Pollack Turpin, G.</t>
  </si>
  <si>
    <t>Tt-AUB21_1-DRAFT-PanAnd-1.0</t>
  </si>
  <si>
    <t>AUB21</t>
  </si>
  <si>
    <t>MCRTL023</t>
  </si>
  <si>
    <t>AT20TS1MCRTL023</t>
  </si>
  <si>
    <t>Trachypogon chevalieri</t>
  </si>
  <si>
    <t>Pasquet 1190</t>
  </si>
  <si>
    <t>MCRTL017</t>
  </si>
  <si>
    <t>AT20TS1MCRTL017</t>
  </si>
  <si>
    <t>Trachypogon spicatus</t>
  </si>
  <si>
    <t>Pasquet 1109</t>
  </si>
  <si>
    <t>AN21TSTL0251</t>
  </si>
  <si>
    <t>Tripidium arundinaceum</t>
  </si>
  <si>
    <t>PI 423243</t>
  </si>
  <si>
    <t>AN21TSTL0252</t>
  </si>
  <si>
    <t>Tripsacum andersonii</t>
  </si>
  <si>
    <t>MIA 34444</t>
  </si>
  <si>
    <t>Tripsacinae</t>
  </si>
  <si>
    <t>AN21TSTL0045</t>
  </si>
  <si>
    <t>Tripsacum australe</t>
  </si>
  <si>
    <t>MIA 34497</t>
  </si>
  <si>
    <t>MCRTL009</t>
  </si>
  <si>
    <t>AT20TS1MCRTL009</t>
  </si>
  <si>
    <t>MIA 34499</t>
  </si>
  <si>
    <t>AN21TSTL0206</t>
  </si>
  <si>
    <t>Tripsacum cundinamarce</t>
  </si>
  <si>
    <t>MIA 34644</t>
  </si>
  <si>
    <t>Td-FL_9056069_6-REFERENCE-PanAnd-2.0a</t>
  </si>
  <si>
    <t>FL_South</t>
  </si>
  <si>
    <t>Td-KS_B6_1-REFERENCE-PanAnd-2.0a</t>
  </si>
  <si>
    <t>KS_North</t>
  </si>
  <si>
    <t>AN21TSTL0013</t>
  </si>
  <si>
    <t>Tripsacum jalapense</t>
  </si>
  <si>
    <t>MIA 34722</t>
  </si>
  <si>
    <t>AN21TSTL0048</t>
  </si>
  <si>
    <t>Tripsacum lanceolatum</t>
  </si>
  <si>
    <t>MIA 34718</t>
  </si>
  <si>
    <t>AN21TNTL0131</t>
  </si>
  <si>
    <t>Tripsacum latifolium</t>
  </si>
  <si>
    <t>W.E. Harmon; J.A. Fuentes 2183</t>
  </si>
  <si>
    <t>MCRTL002</t>
  </si>
  <si>
    <t>AT20TS1MCRTL002</t>
  </si>
  <si>
    <t>Tripsacum laxum</t>
  </si>
  <si>
    <t>MIA 34792</t>
  </si>
  <si>
    <t>AN22TNTL021</t>
  </si>
  <si>
    <t>Tripsacum manisuroides</t>
  </si>
  <si>
    <t>Breedlove 28030</t>
  </si>
  <si>
    <t>AN21TSTL0047</t>
  </si>
  <si>
    <t>Tripsacum peruvianum</t>
  </si>
  <si>
    <t>MIA 34502</t>
  </si>
  <si>
    <t>AN21TNTL0132</t>
  </si>
  <si>
    <t>Tripsacum pilosum</t>
  </si>
  <si>
    <t>Breedlove; Davidse 54015</t>
  </si>
  <si>
    <t>Tz-DC_05_58_3A-DRAFT-PanAnd-1.0</t>
  </si>
  <si>
    <t>Tripsacum zopolitense</t>
  </si>
  <si>
    <t>Dc_05_58_3A</t>
  </si>
  <si>
    <t>MCRTL011</t>
  </si>
  <si>
    <t>AT20TS1MCRTL011</t>
  </si>
  <si>
    <t>Urelytrum agropyroides</t>
  </si>
  <si>
    <t>Pasquet 1233</t>
  </si>
  <si>
    <t>Ud-Pasquet1171-DRAFT-PanAnd-1.0</t>
  </si>
  <si>
    <t>Urelytrum digitatum</t>
  </si>
  <si>
    <t>Pasquet1171</t>
  </si>
  <si>
    <t>AN22TNTL105</t>
  </si>
  <si>
    <t>Urelytrum henrardii</t>
  </si>
  <si>
    <t>BL Mitchell 12/56</t>
  </si>
  <si>
    <t>Melinidinae</t>
  </si>
  <si>
    <t>Vc-Pasquet1098-DRAFT-PanAnd-1.0</t>
  </si>
  <si>
    <t>Vossia cuspidata</t>
  </si>
  <si>
    <t>Pasquet1098</t>
  </si>
  <si>
    <t>Zd-Gigi-REFERENCE-PanAnd-1.0</t>
  </si>
  <si>
    <t>Zea diploperennis</t>
  </si>
  <si>
    <t>Gigi</t>
  </si>
  <si>
    <t>Zd-Momo-REFERENCE-PanAnd-1.0</t>
  </si>
  <si>
    <t>Momo</t>
  </si>
  <si>
    <t>AN21TS49</t>
  </si>
  <si>
    <t>AN21TSTL0049</t>
  </si>
  <si>
    <t>PI 441930</t>
  </si>
  <si>
    <t>MCRTL020</t>
  </si>
  <si>
    <t>AT20TS1MCRTL020</t>
  </si>
  <si>
    <t>Guzman &amp; Nee PI 441930</t>
  </si>
  <si>
    <t>Zl-RIL003-REFERENCE-PanAnd-1.0</t>
  </si>
  <si>
    <t>RIL003</t>
  </si>
  <si>
    <t>Zh-RIMHU001-REFERENCE-PanAnd-1.0</t>
  </si>
  <si>
    <t>Zea mays subsp. huehuetenangensis</t>
  </si>
  <si>
    <t>RIMHU001</t>
  </si>
  <si>
    <t>Zx-TIL25-REFERENCE-PanAnd-1.0</t>
  </si>
  <si>
    <t>TIL25</t>
  </si>
  <si>
    <t>Zx-TIL18-REFERENCE-PanAnd-1.0</t>
  </si>
  <si>
    <t>TIL18</t>
  </si>
  <si>
    <t>Zv-TIL01-REFERENCE-PanAnd-1.0</t>
  </si>
  <si>
    <t>Zea mays subsp. parviglumis</t>
  </si>
  <si>
    <t>TIL01</t>
  </si>
  <si>
    <t>Zv-TIL11-REFERENCE-PanAnd-1.0</t>
  </si>
  <si>
    <t>TIL11</t>
  </si>
  <si>
    <t>Zn-PI615697-REFERENCE-PanAnd-1.0</t>
  </si>
  <si>
    <t>Zea nicaraguensis</t>
  </si>
  <si>
    <t>PI615697</t>
  </si>
  <si>
    <t>AT20TS1MCRTL012</t>
  </si>
  <si>
    <t>MOBOT</t>
  </si>
  <si>
    <t>AN21TNTL0368</t>
  </si>
  <si>
    <t>Zea perennis</t>
  </si>
  <si>
    <t>Iltis 1050</t>
  </si>
  <si>
    <t>assemblySize</t>
  </si>
  <si>
    <t>nContig</t>
  </si>
  <si>
    <t>avgContigSize</t>
  </si>
  <si>
    <t>largestContigSize</t>
  </si>
  <si>
    <t>N50</t>
  </si>
  <si>
    <t>N90</t>
  </si>
  <si>
    <t>correctSpecies</t>
  </si>
  <si>
    <t>CorrectEcotype</t>
  </si>
  <si>
    <t>wrongSample</t>
  </si>
  <si>
    <t>lowTABASCO</t>
  </si>
  <si>
    <t>CHList</t>
  </si>
  <si>
    <t>QCshortread</t>
  </si>
  <si>
    <t>dupSample</t>
  </si>
  <si>
    <t>reason omitted</t>
  </si>
  <si>
    <t>MCRTL024</t>
  </si>
  <si>
    <t>AT20TS1MCRTL024</t>
  </si>
  <si>
    <t>Omit</t>
  </si>
  <si>
    <t>sample mixup; unknown speciman</t>
  </si>
  <si>
    <t>SRR7121607</t>
  </si>
  <si>
    <t>AN21TS44</t>
  </si>
  <si>
    <t>AN21TSTL0044</t>
  </si>
  <si>
    <t>AN21TNTL0173</t>
  </si>
  <si>
    <t>AN21TS39</t>
  </si>
  <si>
    <t>AN21TSTL0039</t>
  </si>
  <si>
    <t>AN21TSTL0250</t>
  </si>
  <si>
    <t>AN21TSTL0205</t>
  </si>
  <si>
    <t>MCRTL028</t>
  </si>
  <si>
    <t>AT20TN1MCRTL028</t>
  </si>
  <si>
    <t>AN21TS41</t>
  </si>
  <si>
    <t>AN21TSTL0041</t>
  </si>
  <si>
    <t>AN21TSTL0183</t>
  </si>
  <si>
    <t>AN21TS05</t>
  </si>
  <si>
    <t>AN21TSTL0005</t>
  </si>
  <si>
    <t>AN21TS37</t>
  </si>
  <si>
    <t>AN21TSTL0037</t>
  </si>
  <si>
    <t>PI 349688002 - White seed</t>
  </si>
  <si>
    <t>AN21TSTL0036</t>
  </si>
  <si>
    <t>Kew 437613</t>
  </si>
  <si>
    <t>ASM63269v1</t>
  </si>
  <si>
    <t>Oryza minuta</t>
  </si>
  <si>
    <t>Sanger</t>
  </si>
  <si>
    <t>Low TABASCO score</t>
  </si>
  <si>
    <t>ERR5945840</t>
  </si>
  <si>
    <t>Avena strigosa</t>
  </si>
  <si>
    <t>mutagenesis line</t>
  </si>
  <si>
    <t>lpBroSter1.1_alternate_haplotype</t>
  </si>
  <si>
    <t>bad assembly with poor tree placement</t>
  </si>
  <si>
    <t>SRR2219562</t>
  </si>
  <si>
    <t>Aegilops geniculata</t>
  </si>
  <si>
    <t>source data is chr5 only</t>
  </si>
  <si>
    <t>RSPBVictoria1.0</t>
  </si>
  <si>
    <t>target capture</t>
  </si>
  <si>
    <t>4AgS</t>
  </si>
  <si>
    <t>Thinopyrum obtusiflorum</t>
  </si>
  <si>
    <t>ASM3043976v1</t>
  </si>
  <si>
    <t>1679-33_China</t>
  </si>
  <si>
    <t>PacBio Sequel II</t>
  </si>
  <si>
    <t>ASM2338475v1</t>
  </si>
  <si>
    <t>durum_Eichenbarlebener_winter</t>
  </si>
  <si>
    <t>Illumina NovaSeq</t>
  </si>
  <si>
    <t>chr2 only</t>
  </si>
  <si>
    <t>ASM2338477v1</t>
  </si>
  <si>
    <t>durum_PI 94633_spring</t>
  </si>
  <si>
    <t>ASM2338479v1</t>
  </si>
  <si>
    <t>GZ1_spring</t>
  </si>
  <si>
    <t>AN21TSTL0243</t>
  </si>
  <si>
    <t>MCRTL043</t>
  </si>
  <si>
    <t>AT20TN1MCRTL043</t>
  </si>
  <si>
    <t>AN22TSTL001</t>
  </si>
  <si>
    <t>Aristaveninae</t>
  </si>
  <si>
    <t>AN21TSTL0285</t>
  </si>
  <si>
    <t>Anadelphia trepidaria</t>
  </si>
  <si>
    <t>J.G. Adam 31646</t>
  </si>
  <si>
    <t>AN21TNTL0082</t>
  </si>
  <si>
    <t>Tenorio L. 17835</t>
  </si>
  <si>
    <t>AN21TSTL0218</t>
  </si>
  <si>
    <t>Bothriochloa radicans</t>
  </si>
  <si>
    <t>PI 301713</t>
  </si>
  <si>
    <t>AN21TSTL0244</t>
  </si>
  <si>
    <t>M. Mackee 196</t>
  </si>
  <si>
    <t>4540-9</t>
  </si>
  <si>
    <t>AN21TSTL0264</t>
  </si>
  <si>
    <t>Mimoro; Hyuga; Furuta 1248</t>
  </si>
  <si>
    <t>AN21TSTL0263</t>
  </si>
  <si>
    <t>Miscanthus tinctorius</t>
  </si>
  <si>
    <t>Reiko Nishimura 1050</t>
  </si>
  <si>
    <t>AN22TNTL007</t>
  </si>
  <si>
    <t>Saccharum coarctatum</t>
  </si>
  <si>
    <t>Camilo Quarin 3605</t>
  </si>
  <si>
    <t>AN22TNTL008</t>
  </si>
  <si>
    <t>Saccharum griffithii</t>
  </si>
  <si>
    <t>A Manoutcheri, P Allen 2039</t>
  </si>
  <si>
    <t>AN22TNTL157</t>
  </si>
  <si>
    <t>Schizachyrium muelleri</t>
  </si>
  <si>
    <t>Hitchcock 264</t>
  </si>
  <si>
    <t>AN21TNTL0298</t>
  </si>
  <si>
    <t>Spodiopogon lacei</t>
  </si>
  <si>
    <t>W Nanakorn 1251</t>
  </si>
  <si>
    <t>AN21TSTL0254</t>
  </si>
  <si>
    <t>E. Anderson sn</t>
  </si>
  <si>
    <t>AN21TS46</t>
  </si>
  <si>
    <t>AN21TSTL0046</t>
  </si>
  <si>
    <t>MIA 34790</t>
  </si>
  <si>
    <t>AN20T027</t>
  </si>
  <si>
    <t>AN20TSCR000226</t>
  </si>
  <si>
    <t>MSV 750</t>
  </si>
  <si>
    <t>AN22TNTL166</t>
  </si>
  <si>
    <t>Urelytrum giganteum</t>
  </si>
  <si>
    <t>Boudet-Bille 1622</t>
  </si>
  <si>
    <t>ASM90020540v1</t>
  </si>
  <si>
    <t>duplicate sample</t>
  </si>
  <si>
    <t>CM05836_v1.1</t>
  </si>
  <si>
    <t>since suppressed on NCBI</t>
  </si>
  <si>
    <t>Hordeum_pubiflorum_assembly1</t>
  </si>
  <si>
    <t>Hordeum pubiflorum</t>
  </si>
  <si>
    <t>reads derived fom exome capture</t>
  </si>
  <si>
    <t>extremely large assembly with low TABASCO</t>
  </si>
  <si>
    <t>Pp-Kellogg1297-DRAFT-PanAnd-1.0</t>
  </si>
  <si>
    <t>Angustifolia</t>
  </si>
  <si>
    <t>Zoysia_sinica</t>
  </si>
  <si>
    <t>Zoysia sinica</t>
  </si>
  <si>
    <t>Source data since made private</t>
  </si>
  <si>
    <t>A1010002</t>
  </si>
  <si>
    <t>Bothriochloa insculpta</t>
  </si>
  <si>
    <t>A1014002</t>
  </si>
  <si>
    <t>Chrysopogon zizanioides</t>
  </si>
  <si>
    <t>A1015002</t>
  </si>
  <si>
    <t>Coelorachis tuberculosa</t>
  </si>
  <si>
    <t>A1020001</t>
  </si>
  <si>
    <t>Dichanthium annulatum</t>
  </si>
  <si>
    <t>A1021002</t>
  </si>
  <si>
    <t>A1025002</t>
  </si>
  <si>
    <t>A1030002</t>
  </si>
  <si>
    <t>A1031001</t>
  </si>
  <si>
    <t>Miscanthus ecklonii</t>
  </si>
  <si>
    <t>A1033002</t>
  </si>
  <si>
    <t>Miscanthus junceus</t>
  </si>
  <si>
    <t>A1063002</t>
  </si>
  <si>
    <t>A1076001</t>
  </si>
  <si>
    <t>A1077002</t>
  </si>
  <si>
    <t>AN21TSTL0220</t>
  </si>
  <si>
    <t>AN21TSTL0179</t>
  </si>
  <si>
    <t>AN21TSTL0241</t>
  </si>
  <si>
    <t>AN21TSTL0240</t>
  </si>
  <si>
    <t>AN21TNTL0081</t>
  </si>
  <si>
    <t>AN22TNTL025</t>
  </si>
  <si>
    <t>AN21TSTL0221</t>
  </si>
  <si>
    <t>AN20TSCR000208</t>
  </si>
  <si>
    <t>AN21TNTL0176</t>
  </si>
  <si>
    <t>AN20T194</t>
  </si>
  <si>
    <t>AN20TSCR000194</t>
  </si>
  <si>
    <t>AN20T197</t>
  </si>
  <si>
    <t>AN20TSCR000197</t>
  </si>
  <si>
    <t>AN21TSTL0222</t>
  </si>
  <si>
    <t>AN21TSTL0224</t>
  </si>
  <si>
    <t>Td-FL_9056069_6-REFERENCE-PanAnd-2.0b</t>
  </si>
  <si>
    <t>Td-KS_B6_1-REFERENCE-PanAnd-2.0b</t>
  </si>
  <si>
    <t>species</t>
  </si>
  <si>
    <t>These are the 34 assemblies that we used to generate consensus orthogroup sequences. We selected these assemblies based on broad taxonomic representation and assembly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</si>
</sst>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"/>
  </numFmts>
  <fonts count="29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sz val="8"/>
      <color rgb="FF000000"/>
      <name val="&quot;Helvetica Neue&quot;"/>
    </font>
    <font>
      <u/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222222"/>
      <name val="Calibri"/>
      <family val="2"/>
    </font>
    <font>
      <u/>
      <sz val="12"/>
      <color rgb="FF0000FF"/>
      <name val="Calibri"/>
      <family val="2"/>
    </font>
    <font>
      <u/>
      <sz val="12"/>
      <color rgb="FF212121"/>
      <name val="Calibri"/>
      <family val="2"/>
    </font>
    <font>
      <sz val="12"/>
      <color rgb="FF222222"/>
      <name val="-apple-system"/>
    </font>
    <font>
      <u/>
      <sz val="12"/>
      <color rgb="FF333333"/>
      <name val="Calibri"/>
      <family val="2"/>
    </font>
    <font>
      <u/>
      <sz val="12"/>
      <color rgb="FF1155CC"/>
      <name val="Calibri"/>
      <family val="2"/>
    </font>
    <font>
      <b/>
      <sz val="10"/>
      <color rgb="FF000000"/>
      <name val="Arial"/>
      <family val="2"/>
      <scheme val="minor"/>
    </font>
    <font>
      <sz val="12"/>
      <color rgb="FF1D1C1D"/>
      <name val="Monaco"/>
      <family val="2"/>
    </font>
    <font>
      <sz val="12"/>
      <color rgb="FF1D1C1D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4F4F4"/>
        <bgColor rgb="FFF4F4F4"/>
      </patternFill>
    </fill>
    <fill>
      <patternFill patternType="solid">
        <fgColor rgb="FFB0B3B2"/>
        <bgColor rgb="FFB0B3B2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2" borderId="0" xfId="0" applyFont="1" applyFill="1" applyAlignment="1">
      <alignment horizontal="left"/>
    </xf>
    <xf numFmtId="0" fontId="3" fillId="0" borderId="0" xfId="0" applyFont="1" applyAlignment="1">
      <alignment horizontal="right"/>
    </xf>
    <xf numFmtId="0" fontId="3" fillId="2" borderId="0" xfId="0" applyFont="1" applyFill="1"/>
    <xf numFmtId="0" fontId="8" fillId="2" borderId="0" xfId="0" applyFont="1" applyFill="1" applyAlignment="1">
      <alignment horizontal="left" wrapText="1"/>
    </xf>
    <xf numFmtId="0" fontId="3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164" fontId="3" fillId="0" borderId="0" xfId="0" applyNumberFormat="1" applyFont="1"/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/>
    <xf numFmtId="49" fontId="11" fillId="0" borderId="0" xfId="0" applyNumberFormat="1" applyFont="1" applyAlignment="1">
      <alignment vertical="top"/>
    </xf>
    <xf numFmtId="0" fontId="14" fillId="0" borderId="1" xfId="0" applyFont="1" applyBorder="1" applyAlignment="1">
      <alignment vertical="top"/>
    </xf>
    <xf numFmtId="0" fontId="3" fillId="3" borderId="0" xfId="0" applyFont="1" applyFill="1"/>
    <xf numFmtId="0" fontId="15" fillId="4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 wrapText="1"/>
    </xf>
    <xf numFmtId="49" fontId="16" fillId="0" borderId="0" xfId="0" applyNumberFormat="1" applyFont="1"/>
    <xf numFmtId="0" fontId="17" fillId="0" borderId="0" xfId="0" applyFont="1"/>
    <xf numFmtId="0" fontId="3" fillId="5" borderId="2" xfId="0" applyFont="1" applyFill="1" applyBorder="1" applyAlignment="1">
      <alignment vertical="top"/>
    </xf>
    <xf numFmtId="0" fontId="18" fillId="2" borderId="0" xfId="0" applyFont="1" applyFill="1" applyAlignment="1">
      <alignment horizontal="left"/>
    </xf>
    <xf numFmtId="0" fontId="3" fillId="0" borderId="2" xfId="0" applyFont="1" applyBorder="1" applyAlignment="1">
      <alignment vertical="top"/>
    </xf>
    <xf numFmtId="0" fontId="19" fillId="0" borderId="0" xfId="0" applyFont="1"/>
    <xf numFmtId="0" fontId="18" fillId="2" borderId="0" xfId="0" applyFont="1" applyFill="1"/>
    <xf numFmtId="0" fontId="16" fillId="0" borderId="0" xfId="0" applyFont="1"/>
    <xf numFmtId="0" fontId="20" fillId="2" borderId="0" xfId="0" applyFont="1" applyFill="1"/>
    <xf numFmtId="0" fontId="21" fillId="2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11/pbi.12674" TargetMode="External"/><Relationship Id="rId21" Type="http://schemas.openxmlformats.org/officeDocument/2006/relationships/hyperlink" Target="https://doi.org/10.21203/rs.3.rs-5726397/v1" TargetMode="External"/><Relationship Id="rId42" Type="http://schemas.openxmlformats.org/officeDocument/2006/relationships/hyperlink" Target="https://doi.org/10.1038/s41588-023-01302-4" TargetMode="External"/><Relationship Id="rId63" Type="http://schemas.openxmlformats.org/officeDocument/2006/relationships/hyperlink" Target="https://doi.org/10.1038/s41467-023-38915-6" TargetMode="External"/><Relationship Id="rId84" Type="http://schemas.openxmlformats.org/officeDocument/2006/relationships/hyperlink" Target="https://doi.org/10.1038/s41586-024-08187-1" TargetMode="External"/><Relationship Id="rId138" Type="http://schemas.openxmlformats.org/officeDocument/2006/relationships/hyperlink" Target="https://doi.org/10.1038/s41588-021-00808-z" TargetMode="External"/><Relationship Id="rId159" Type="http://schemas.openxmlformats.org/officeDocument/2006/relationships/hyperlink" Target="https://doi.org/10.1016/j.xplc.2023.100768" TargetMode="External"/><Relationship Id="rId170" Type="http://schemas.openxmlformats.org/officeDocument/2006/relationships/hyperlink" Target="https://doi.org/10.1093/dnares/dsw006" TargetMode="External"/><Relationship Id="rId107" Type="http://schemas.openxmlformats.org/officeDocument/2006/relationships/hyperlink" Target="https://doi.org/10.1038/s41597-023-02594-1" TargetMode="External"/><Relationship Id="rId11" Type="http://schemas.openxmlformats.org/officeDocument/2006/relationships/hyperlink" Target="https://doi.org/10.1111/nph.19272" TargetMode="External"/><Relationship Id="rId32" Type="http://schemas.openxmlformats.org/officeDocument/2006/relationships/hyperlink" Target="https://doi.org/10.1371/journal.pgen.1007637" TargetMode="External"/><Relationship Id="rId53" Type="http://schemas.openxmlformats.org/officeDocument/2006/relationships/hyperlink" Target="https://doi.org/10.3389/fpls.2020.00630" TargetMode="External"/><Relationship Id="rId74" Type="http://schemas.openxmlformats.org/officeDocument/2006/relationships/hyperlink" Target="https://doi.org/10.1111/j.1365-313X.2007.03326.x" TargetMode="External"/><Relationship Id="rId128" Type="http://schemas.openxmlformats.org/officeDocument/2006/relationships/hyperlink" Target="https://doi.org/10.1093/gbe/evac180" TargetMode="External"/><Relationship Id="rId149" Type="http://schemas.openxmlformats.org/officeDocument/2006/relationships/hyperlink" Target="https://doi.org/10.1111/mec.15614" TargetMode="External"/><Relationship Id="rId5" Type="http://schemas.openxmlformats.org/officeDocument/2006/relationships/hyperlink" Target="https://doi.org/10.1111/tpj.15664" TargetMode="External"/><Relationship Id="rId95" Type="http://schemas.openxmlformats.org/officeDocument/2006/relationships/hyperlink" Target="https://doi.org/10.1038/s41467-021-22738-4" TargetMode="External"/><Relationship Id="rId160" Type="http://schemas.openxmlformats.org/officeDocument/2006/relationships/hyperlink" Target="https://doi.org/10.1038/s41586-018-0108-0" TargetMode="External"/><Relationship Id="rId22" Type="http://schemas.openxmlformats.org/officeDocument/2006/relationships/hyperlink" Target="https://doi.org/10.1038/s41597-024-03248-6" TargetMode="External"/><Relationship Id="rId43" Type="http://schemas.openxmlformats.org/officeDocument/2006/relationships/hyperlink" Target="https://doi.org/10.1038/s41588-023-01302-4" TargetMode="External"/><Relationship Id="rId64" Type="http://schemas.openxmlformats.org/officeDocument/2006/relationships/hyperlink" Target="https://doi.org/10.1093/dnares/dsx036" TargetMode="External"/><Relationship Id="rId118" Type="http://schemas.openxmlformats.org/officeDocument/2006/relationships/hyperlink" Target="https://doi.org/10.1186/1939-8433-6-4" TargetMode="External"/><Relationship Id="rId139" Type="http://schemas.openxmlformats.org/officeDocument/2006/relationships/hyperlink" Target="https://doi.org/10.1038/s41587-020-0681-2" TargetMode="External"/><Relationship Id="rId85" Type="http://schemas.openxmlformats.org/officeDocument/2006/relationships/hyperlink" Target="https://doi.org/10.1038/s41586-024-08187-1" TargetMode="External"/><Relationship Id="rId150" Type="http://schemas.openxmlformats.org/officeDocument/2006/relationships/hyperlink" Target="https://doi.org/10.1111/mec.16691" TargetMode="External"/><Relationship Id="rId12" Type="http://schemas.openxmlformats.org/officeDocument/2006/relationships/hyperlink" Target="https://doi.org/10.1111/nph.19272" TargetMode="External"/><Relationship Id="rId33" Type="http://schemas.openxmlformats.org/officeDocument/2006/relationships/hyperlink" Target="https://doi.org/10.1104/pp.16.00813" TargetMode="External"/><Relationship Id="rId108" Type="http://schemas.openxmlformats.org/officeDocument/2006/relationships/hyperlink" Target="https://doi.org/10.1038/s41598-018-31518-y" TargetMode="External"/><Relationship Id="rId129" Type="http://schemas.openxmlformats.org/officeDocument/2006/relationships/hyperlink" Target="https://genomevolution.org/coge/GenomeInfo.pl?gid=65467" TargetMode="External"/><Relationship Id="rId54" Type="http://schemas.openxmlformats.org/officeDocument/2006/relationships/hyperlink" Target="https://genomevolution.org/coge/GenomeInfo.pl?gid=65451" TargetMode="External"/><Relationship Id="rId70" Type="http://schemas.openxmlformats.org/officeDocument/2006/relationships/hyperlink" Target="https://doi.org/10.1073/pnas.2001928117" TargetMode="External"/><Relationship Id="rId75" Type="http://schemas.openxmlformats.org/officeDocument/2006/relationships/hyperlink" Target="https://doi.org/10.1038/s41588-024-01683-0" TargetMode="External"/><Relationship Id="rId91" Type="http://schemas.openxmlformats.org/officeDocument/2006/relationships/hyperlink" Target="https://doi.org/10.3389/fgene.2022.1012694" TargetMode="External"/><Relationship Id="rId96" Type="http://schemas.openxmlformats.org/officeDocument/2006/relationships/hyperlink" Target="https://phytozome-next.jgi.doe.gov/info/Msinensis_v7_1" TargetMode="External"/><Relationship Id="rId140" Type="http://schemas.openxmlformats.org/officeDocument/2006/relationships/hyperlink" Target="https://doi.org/10.1534/g3.120.401345" TargetMode="External"/><Relationship Id="rId145" Type="http://schemas.openxmlformats.org/officeDocument/2006/relationships/hyperlink" Target="https://doi.org/10.1111/j.1365-313X.2007.03326.x" TargetMode="External"/><Relationship Id="rId161" Type="http://schemas.openxmlformats.org/officeDocument/2006/relationships/hyperlink" Target="https://www.alice.cnptia.embrapa.br/alice/bitstream/doc/1107378/1/abstractPAGXXVII.pdf" TargetMode="External"/><Relationship Id="rId166" Type="http://schemas.openxmlformats.org/officeDocument/2006/relationships/hyperlink" Target="https://doi.org/10.1111/tpj.12912" TargetMode="External"/><Relationship Id="rId1" Type="http://schemas.openxmlformats.org/officeDocument/2006/relationships/hyperlink" Target="https://doi.org/10.1016/j.molp.2021.12.019" TargetMode="External"/><Relationship Id="rId6" Type="http://schemas.openxmlformats.org/officeDocument/2006/relationships/hyperlink" Target="https://doi.org/10.1016/j.molp.2021.12.019" TargetMode="External"/><Relationship Id="rId23" Type="http://schemas.openxmlformats.org/officeDocument/2006/relationships/hyperlink" Target="https://doi.org/10.1038/s41597-024-03248-6" TargetMode="External"/><Relationship Id="rId28" Type="http://schemas.openxmlformats.org/officeDocument/2006/relationships/hyperlink" Target="https://phytozome-next.jgi.doe.gov/info/BdistachyonTek_4_v1" TargetMode="External"/><Relationship Id="rId49" Type="http://schemas.openxmlformats.org/officeDocument/2006/relationships/hyperlink" Target="https://doi.org/10.3389/fpls.2023.1239290" TargetMode="External"/><Relationship Id="rId114" Type="http://schemas.openxmlformats.org/officeDocument/2006/relationships/hyperlink" Target="https://doi.org/10.1016/j.molp.2015.08.006" TargetMode="External"/><Relationship Id="rId119" Type="http://schemas.openxmlformats.org/officeDocument/2006/relationships/hyperlink" Target="https://doi.org/10.1038/sdata.2016.76" TargetMode="External"/><Relationship Id="rId44" Type="http://schemas.openxmlformats.org/officeDocument/2006/relationships/hyperlink" Target="https://doi.org/10.1038/s41588-023-01302-4" TargetMode="External"/><Relationship Id="rId60" Type="http://schemas.openxmlformats.org/officeDocument/2006/relationships/hyperlink" Target="https://doi.org/10.1093/gigascience/giab013" TargetMode="External"/><Relationship Id="rId65" Type="http://schemas.openxmlformats.org/officeDocument/2006/relationships/hyperlink" Target="https://doi.org/10.1186/s12864-017-3850-z" TargetMode="External"/><Relationship Id="rId81" Type="http://schemas.openxmlformats.org/officeDocument/2006/relationships/hyperlink" Target="https://doi.org/10.1093/plcell/koab077" TargetMode="External"/><Relationship Id="rId86" Type="http://schemas.openxmlformats.org/officeDocument/2006/relationships/hyperlink" Target="https://doi.org/10.1038/s41588-024-01683-0" TargetMode="External"/><Relationship Id="rId130" Type="http://schemas.openxmlformats.org/officeDocument/2006/relationships/hyperlink" Target="https://doi.org/10.1111/j.1365-313X.2007.03326.x" TargetMode="External"/><Relationship Id="rId135" Type="http://schemas.openxmlformats.org/officeDocument/2006/relationships/hyperlink" Target="https://doi.org/10.1038/s41588-024-01683-0" TargetMode="External"/><Relationship Id="rId151" Type="http://schemas.openxmlformats.org/officeDocument/2006/relationships/hyperlink" Target="https://doi.org/10.1126/science.aba5435" TargetMode="External"/><Relationship Id="rId156" Type="http://schemas.openxmlformats.org/officeDocument/2006/relationships/hyperlink" Target="https://maizegdb.org/genome/assembly/Td-McKain334_5-DRAFT-PanAnd-1.0" TargetMode="External"/><Relationship Id="rId13" Type="http://schemas.openxmlformats.org/officeDocument/2006/relationships/hyperlink" Target="https://doi.org/10.1111/nph.19272" TargetMode="External"/><Relationship Id="rId18" Type="http://schemas.openxmlformats.org/officeDocument/2006/relationships/hyperlink" Target="https://doi.org/10.1186/s12915-019-0712-y" TargetMode="External"/><Relationship Id="rId39" Type="http://schemas.openxmlformats.org/officeDocument/2006/relationships/hyperlink" Target="https://genomevolution.org/coge/GenomeInfo.pl?gid=64356" TargetMode="External"/><Relationship Id="rId109" Type="http://schemas.openxmlformats.org/officeDocument/2006/relationships/hyperlink" Target="https://doi.org/10.1111/ppl.13284" TargetMode="External"/><Relationship Id="rId34" Type="http://schemas.openxmlformats.org/officeDocument/2006/relationships/hyperlink" Target="https://phytozome-next.jgi.doe.gov/info/Bhybridum_v1_1" TargetMode="External"/><Relationship Id="rId50" Type="http://schemas.openxmlformats.org/officeDocument/2006/relationships/hyperlink" Target="https://doi.org/10.1101/gr.266528.120" TargetMode="External"/><Relationship Id="rId55" Type="http://schemas.openxmlformats.org/officeDocument/2006/relationships/hyperlink" Target="https://doi.org/10.1111/j.1365-313X.2007.03326.x" TargetMode="External"/><Relationship Id="rId76" Type="http://schemas.openxmlformats.org/officeDocument/2006/relationships/hyperlink" Target="https://doi.org/10.21203/rs.3.rs-3916840/v1" TargetMode="External"/><Relationship Id="rId97" Type="http://schemas.openxmlformats.org/officeDocument/2006/relationships/hyperlink" Target="https://doi.org/10.1038/s41467-020-18923-6" TargetMode="External"/><Relationship Id="rId104" Type="http://schemas.openxmlformats.org/officeDocument/2006/relationships/hyperlink" Target="https://doi.org/10.1016/j.cub.2018.05.066" TargetMode="External"/><Relationship Id="rId120" Type="http://schemas.openxmlformats.org/officeDocument/2006/relationships/hyperlink" Target="https://doi.org/10.1038/s41588-024-01683-0" TargetMode="External"/><Relationship Id="rId125" Type="http://schemas.openxmlformats.org/officeDocument/2006/relationships/hyperlink" Target="https://doi.org/10.1111/mec.16293" TargetMode="External"/><Relationship Id="rId141" Type="http://schemas.openxmlformats.org/officeDocument/2006/relationships/hyperlink" Target="https://doi.org/10.1038/nature07723" TargetMode="External"/><Relationship Id="rId146" Type="http://schemas.openxmlformats.org/officeDocument/2006/relationships/hyperlink" Target="https://genomevolution.org/coge/GenomeInfo.pl?gid=54805" TargetMode="External"/><Relationship Id="rId167" Type="http://schemas.openxmlformats.org/officeDocument/2006/relationships/hyperlink" Target="https://doi.org/10.1111/tpj.15419" TargetMode="External"/><Relationship Id="rId7" Type="http://schemas.openxmlformats.org/officeDocument/2006/relationships/hyperlink" Target="https://doi.org/10.1016/j.molp.2021.12.019" TargetMode="External"/><Relationship Id="rId71" Type="http://schemas.openxmlformats.org/officeDocument/2006/relationships/hyperlink" Target="https://doi.org/10.1186/1471-2164-15-581" TargetMode="External"/><Relationship Id="rId92" Type="http://schemas.openxmlformats.org/officeDocument/2006/relationships/hyperlink" Target="https://doi.org/10.1038/s41588-024-01683-0" TargetMode="External"/><Relationship Id="rId162" Type="http://schemas.openxmlformats.org/officeDocument/2006/relationships/hyperlink" Target="https://doi.org/10.1093/jxb/eraa469" TargetMode="External"/><Relationship Id="rId2" Type="http://schemas.openxmlformats.org/officeDocument/2006/relationships/hyperlink" Target="https://doi.org/10.1016/j.molp.2021.12.019" TargetMode="External"/><Relationship Id="rId29" Type="http://schemas.openxmlformats.org/officeDocument/2006/relationships/hyperlink" Target="https://doi.org/10.1038/s41467-017-02292-8" TargetMode="External"/><Relationship Id="rId24" Type="http://schemas.openxmlformats.org/officeDocument/2006/relationships/hyperlink" Target="http://dx.doi.org/10.21203/rs.3.rs-664692/v1" TargetMode="External"/><Relationship Id="rId40" Type="http://schemas.openxmlformats.org/officeDocument/2006/relationships/hyperlink" Target="https://doi.org/10.1038/s42003-023-04620-9" TargetMode="External"/><Relationship Id="rId45" Type="http://schemas.openxmlformats.org/officeDocument/2006/relationships/hyperlink" Target="https://doi.org/10.1038/s41588-023-01302-4" TargetMode="External"/><Relationship Id="rId66" Type="http://schemas.openxmlformats.org/officeDocument/2006/relationships/hyperlink" Target="https://doi.org/10.21203/rs.3.rs-2587355/v1" TargetMode="External"/><Relationship Id="rId87" Type="http://schemas.openxmlformats.org/officeDocument/2006/relationships/hyperlink" Target="https://doi.org/10.1101/gr.266528.120" TargetMode="External"/><Relationship Id="rId110" Type="http://schemas.openxmlformats.org/officeDocument/2006/relationships/hyperlink" Target="https://doi.org/10.1101/2024.05.29.596369" TargetMode="External"/><Relationship Id="rId115" Type="http://schemas.openxmlformats.org/officeDocument/2006/relationships/hyperlink" Target="https://doi.org/10.1038/s41597-020-0470-2" TargetMode="External"/><Relationship Id="rId131" Type="http://schemas.openxmlformats.org/officeDocument/2006/relationships/hyperlink" Target="https://doi.org/10.1093/g3journal/jkad073" TargetMode="External"/><Relationship Id="rId136" Type="http://schemas.openxmlformats.org/officeDocument/2006/relationships/hyperlink" Target="https://doi.org/10.1038/s41588-024-01683-0" TargetMode="External"/><Relationship Id="rId157" Type="http://schemas.openxmlformats.org/officeDocument/2006/relationships/hyperlink" Target="https://doi.org/10.1111/tpj.15289" TargetMode="External"/><Relationship Id="rId61" Type="http://schemas.openxmlformats.org/officeDocument/2006/relationships/hyperlink" Target="https://doi.org/10.1038/s41467-020-18329-4" TargetMode="External"/><Relationship Id="rId82" Type="http://schemas.openxmlformats.org/officeDocument/2006/relationships/hyperlink" Target="https://doi.org/10.1038/s41586-024-08187-1" TargetMode="External"/><Relationship Id="rId152" Type="http://schemas.openxmlformats.org/officeDocument/2006/relationships/hyperlink" Target="https://phytozome-next.jgi.doe.gov/info/Tintermedium_v3_1" TargetMode="External"/><Relationship Id="rId19" Type="http://schemas.openxmlformats.org/officeDocument/2006/relationships/hyperlink" Target="https://doi.org/10.1186/s12915-019-0712-y" TargetMode="External"/><Relationship Id="rId14" Type="http://schemas.openxmlformats.org/officeDocument/2006/relationships/hyperlink" Target="https://doi.org/10.1111/nph.19272" TargetMode="External"/><Relationship Id="rId30" Type="http://schemas.openxmlformats.org/officeDocument/2006/relationships/hyperlink" Target="https://doi.org/10.1038/nature08747" TargetMode="External"/><Relationship Id="rId35" Type="http://schemas.openxmlformats.org/officeDocument/2006/relationships/hyperlink" Target="https://doi.org/10.1038/s41467-020-17302-5" TargetMode="External"/><Relationship Id="rId56" Type="http://schemas.openxmlformats.org/officeDocument/2006/relationships/hyperlink" Target="https://doi.org/10.1111/pbi.13205" TargetMode="External"/><Relationship Id="rId77" Type="http://schemas.openxmlformats.org/officeDocument/2006/relationships/hyperlink" Target="https://doi.org/10.21203/rs.3.rs-3916840/v1" TargetMode="External"/><Relationship Id="rId100" Type="http://schemas.openxmlformats.org/officeDocument/2006/relationships/hyperlink" Target="https://doi.org/10.1111/j.1365-313X.2007.03326.x" TargetMode="External"/><Relationship Id="rId105" Type="http://schemas.openxmlformats.org/officeDocument/2006/relationships/hyperlink" Target="https://doi.org/10.1016/j.cub.2018.05.066" TargetMode="External"/><Relationship Id="rId126" Type="http://schemas.openxmlformats.org/officeDocument/2006/relationships/hyperlink" Target="https://doi.org/10.1038/s41588-024-01683-0" TargetMode="External"/><Relationship Id="rId147" Type="http://schemas.openxmlformats.org/officeDocument/2006/relationships/hyperlink" Target="https://doi.org/10.1111/j.1365-313X.2007.03326.x" TargetMode="External"/><Relationship Id="rId168" Type="http://schemas.openxmlformats.org/officeDocument/2006/relationships/hyperlink" Target="https://doi.org/10.1093/dnares/dsw006" TargetMode="External"/><Relationship Id="rId8" Type="http://schemas.openxmlformats.org/officeDocument/2006/relationships/hyperlink" Target="https://doi.org/10.1111/tpj.15664" TargetMode="External"/><Relationship Id="rId51" Type="http://schemas.openxmlformats.org/officeDocument/2006/relationships/hyperlink" Target="https://doi.org/10.1016/j.molp.2019.11.008" TargetMode="External"/><Relationship Id="rId72" Type="http://schemas.openxmlformats.org/officeDocument/2006/relationships/hyperlink" Target="https://doi.org/10.1038/s41467-020-14724-z" TargetMode="External"/><Relationship Id="rId93" Type="http://schemas.openxmlformats.org/officeDocument/2006/relationships/hyperlink" Target="https://doi.org/10.1093/gbe/evab238" TargetMode="External"/><Relationship Id="rId98" Type="http://schemas.openxmlformats.org/officeDocument/2006/relationships/hyperlink" Target="https://doi.org/10.1038/s41588-024-01683-0" TargetMode="External"/><Relationship Id="rId121" Type="http://schemas.openxmlformats.org/officeDocument/2006/relationships/hyperlink" Target="https://doi.org/10.1038/s41586-020-03127-1" TargetMode="External"/><Relationship Id="rId142" Type="http://schemas.openxmlformats.org/officeDocument/2006/relationships/hyperlink" Target="https://doi.org/10.1016/j.xplc.2024.100933" TargetMode="External"/><Relationship Id="rId163" Type="http://schemas.openxmlformats.org/officeDocument/2006/relationships/hyperlink" Target="https://doi.org/10.1111/mpp.13319" TargetMode="External"/><Relationship Id="rId3" Type="http://schemas.openxmlformats.org/officeDocument/2006/relationships/hyperlink" Target="https://doi.org/10.1111/tpj.15664" TargetMode="External"/><Relationship Id="rId25" Type="http://schemas.openxmlformats.org/officeDocument/2006/relationships/hyperlink" Target="https://doi.org/10.1186/s13059-019-1899-5" TargetMode="External"/><Relationship Id="rId46" Type="http://schemas.openxmlformats.org/officeDocument/2006/relationships/hyperlink" Target="https://doi.org/10.1016/j.xplc.2023.100633" TargetMode="External"/><Relationship Id="rId67" Type="http://schemas.openxmlformats.org/officeDocument/2006/relationships/hyperlink" Target="https://doi.org/10.21203/rs.3.rs-2587355/v1" TargetMode="External"/><Relationship Id="rId116" Type="http://schemas.openxmlformats.org/officeDocument/2006/relationships/hyperlink" Target="https://doi.org/10.1093/gbe/evaa037" TargetMode="External"/><Relationship Id="rId137" Type="http://schemas.openxmlformats.org/officeDocument/2006/relationships/hyperlink" Target="https://doi.org/10.1038/s41588-022-01084-1" TargetMode="External"/><Relationship Id="rId158" Type="http://schemas.openxmlformats.org/officeDocument/2006/relationships/hyperlink" Target="https://doi.org/10.1534/g3.118.200902" TargetMode="External"/><Relationship Id="rId20" Type="http://schemas.openxmlformats.org/officeDocument/2006/relationships/hyperlink" Target="https://doi.org/10.1038/s41588-022-01127-7" TargetMode="External"/><Relationship Id="rId41" Type="http://schemas.openxmlformats.org/officeDocument/2006/relationships/hyperlink" Target="https://doi.org/10.1093/g3journal/jkad051" TargetMode="External"/><Relationship Id="rId62" Type="http://schemas.openxmlformats.org/officeDocument/2006/relationships/hyperlink" Target="https://doi.org/10.1093/dnares/dsad023" TargetMode="External"/><Relationship Id="rId83" Type="http://schemas.openxmlformats.org/officeDocument/2006/relationships/hyperlink" Target="https://doi.org/10.1038/s41586-024-08187-1" TargetMode="External"/><Relationship Id="rId88" Type="http://schemas.openxmlformats.org/officeDocument/2006/relationships/hyperlink" Target="https://doi.org/10.1038/s41588-018-0040-0" TargetMode="External"/><Relationship Id="rId111" Type="http://schemas.openxmlformats.org/officeDocument/2006/relationships/hyperlink" Target="https://doi.org/10.1186/1471-2148-7-152" TargetMode="External"/><Relationship Id="rId132" Type="http://schemas.openxmlformats.org/officeDocument/2006/relationships/hyperlink" Target="https://genomevolution.org/coge/GenomeInfo.pl?gid=65468" TargetMode="External"/><Relationship Id="rId153" Type="http://schemas.openxmlformats.org/officeDocument/2006/relationships/hyperlink" Target="https://doi.org/10.1093/nar/gkr944" TargetMode="External"/><Relationship Id="rId15" Type="http://schemas.openxmlformats.org/officeDocument/2006/relationships/hyperlink" Target="https://doi.org/10.1111/nph.18655" TargetMode="External"/><Relationship Id="rId36" Type="http://schemas.openxmlformats.org/officeDocument/2006/relationships/hyperlink" Target="https://genomevolution.org/coge/GenomeInfo.pl?gid=36247" TargetMode="External"/><Relationship Id="rId57" Type="http://schemas.openxmlformats.org/officeDocument/2006/relationships/hyperlink" Target="https://doi.org/10.1111/jipb.13217" TargetMode="External"/><Relationship Id="rId106" Type="http://schemas.openxmlformats.org/officeDocument/2006/relationships/hyperlink" Target="https://doi.org/10.1038/ncomms2596" TargetMode="External"/><Relationship Id="rId127" Type="http://schemas.openxmlformats.org/officeDocument/2006/relationships/hyperlink" Target="https://doi.org/10.1093/gigascience/giy115" TargetMode="External"/><Relationship Id="rId10" Type="http://schemas.openxmlformats.org/officeDocument/2006/relationships/hyperlink" Target="https://doi.org/10.1038/s41597-023-02658-2" TargetMode="External"/><Relationship Id="rId31" Type="http://schemas.openxmlformats.org/officeDocument/2006/relationships/hyperlink" Target="https://doi.org/10.1371/journal.pgen.1007637" TargetMode="External"/><Relationship Id="rId52" Type="http://schemas.openxmlformats.org/officeDocument/2006/relationships/hyperlink" Target="https://doi.org/10.1016/j.molp.2019.11.009" TargetMode="External"/><Relationship Id="rId73" Type="http://schemas.openxmlformats.org/officeDocument/2006/relationships/hyperlink" Target="https://genomevolution.org/coge/GenomeInfo.pl?gid=66483" TargetMode="External"/><Relationship Id="rId78" Type="http://schemas.openxmlformats.org/officeDocument/2006/relationships/hyperlink" Target="https://doi.org/10.21203/rs.3.rs-3916840/v1" TargetMode="External"/><Relationship Id="rId94" Type="http://schemas.openxmlformats.org/officeDocument/2006/relationships/hyperlink" Target="https://doi.org/10.1038/s41477-021-00908-y" TargetMode="External"/><Relationship Id="rId99" Type="http://schemas.openxmlformats.org/officeDocument/2006/relationships/hyperlink" Target="https://genomevolution.org/coge/GenomeInfo.pl?gid=65046" TargetMode="External"/><Relationship Id="rId101" Type="http://schemas.openxmlformats.org/officeDocument/2006/relationships/hyperlink" Target="https://doi.org/10.1038/nature15714" TargetMode="External"/><Relationship Id="rId122" Type="http://schemas.openxmlformats.org/officeDocument/2006/relationships/hyperlink" Target="https://doi.org/10.1093/plcell/koab015" TargetMode="External"/><Relationship Id="rId143" Type="http://schemas.openxmlformats.org/officeDocument/2006/relationships/hyperlink" Target="https://doi.org/10.1016/j.xplc.2024.100933" TargetMode="External"/><Relationship Id="rId148" Type="http://schemas.openxmlformats.org/officeDocument/2006/relationships/hyperlink" Target="https://doi.org/10.3389/fpls.2021.710383" TargetMode="External"/><Relationship Id="rId164" Type="http://schemas.openxmlformats.org/officeDocument/2006/relationships/hyperlink" Target="https://www.ncbi.nlm.nih.gov/assembly/GCA_002813485.1" TargetMode="External"/><Relationship Id="rId169" Type="http://schemas.openxmlformats.org/officeDocument/2006/relationships/hyperlink" Target="https://doi.org/10.1093/dnares/dsw006" TargetMode="External"/><Relationship Id="rId4" Type="http://schemas.openxmlformats.org/officeDocument/2006/relationships/hyperlink" Target="https://doi.org/10.1016/j.molp.2021.12.019" TargetMode="External"/><Relationship Id="rId9" Type="http://schemas.openxmlformats.org/officeDocument/2006/relationships/hyperlink" Target="https://doi.org/10.1093/g3journal/jkab325" TargetMode="External"/><Relationship Id="rId26" Type="http://schemas.openxmlformats.org/officeDocument/2006/relationships/hyperlink" Target="https://doi.org/10.1038/s41588-024-01683-0" TargetMode="External"/><Relationship Id="rId47" Type="http://schemas.openxmlformats.org/officeDocument/2006/relationships/hyperlink" Target="https://doi.org/10.1111/1755-0998.13612" TargetMode="External"/><Relationship Id="rId68" Type="http://schemas.openxmlformats.org/officeDocument/2006/relationships/hyperlink" Target="https://doi.org/10.1002/ps.5389" TargetMode="External"/><Relationship Id="rId89" Type="http://schemas.openxmlformats.org/officeDocument/2006/relationships/hyperlink" Target="https://doi.org/10.1101/2024.10.07.616977" TargetMode="External"/><Relationship Id="rId112" Type="http://schemas.openxmlformats.org/officeDocument/2006/relationships/hyperlink" Target="https://doi.org/10.1093/plphys/kiad485" TargetMode="External"/><Relationship Id="rId133" Type="http://schemas.openxmlformats.org/officeDocument/2006/relationships/hyperlink" Target="https://doi.org/10.1111/j.1365-313X.2007.03326.x" TargetMode="External"/><Relationship Id="rId154" Type="http://schemas.openxmlformats.org/officeDocument/2006/relationships/hyperlink" Target="https://genomevolution.org/coge/GenomeInfo.pl?gid=65089" TargetMode="External"/><Relationship Id="rId16" Type="http://schemas.openxmlformats.org/officeDocument/2006/relationships/hyperlink" Target="https://doi.org/10.1073/pnas.2206808120" TargetMode="External"/><Relationship Id="rId37" Type="http://schemas.openxmlformats.org/officeDocument/2006/relationships/hyperlink" Target="https://doi.org/10.1111/j.1365-313X.2007.03326.x" TargetMode="External"/><Relationship Id="rId58" Type="http://schemas.openxmlformats.org/officeDocument/2006/relationships/hyperlink" Target="https://doi.org/10.1038/s41588-024-01683-0" TargetMode="External"/><Relationship Id="rId79" Type="http://schemas.openxmlformats.org/officeDocument/2006/relationships/hyperlink" Target="https://doi.org/10.21203/rs.3.rs-3916840/v1" TargetMode="External"/><Relationship Id="rId102" Type="http://schemas.openxmlformats.org/officeDocument/2006/relationships/hyperlink" Target="https://doi.org/10.1038/s41598-022-14893-5" TargetMode="External"/><Relationship Id="rId123" Type="http://schemas.openxmlformats.org/officeDocument/2006/relationships/hyperlink" Target="https://doi.org/10.12688/wellcomeopenres.23143.1" TargetMode="External"/><Relationship Id="rId144" Type="http://schemas.openxmlformats.org/officeDocument/2006/relationships/hyperlink" Target="https://genomevolution.org/coge/GenomeInfo.pl?gid=54807" TargetMode="External"/><Relationship Id="rId90" Type="http://schemas.openxmlformats.org/officeDocument/2006/relationships/hyperlink" Target="https://doi.org/10.2135/cropsci2016.07.0608" TargetMode="External"/><Relationship Id="rId165" Type="http://schemas.openxmlformats.org/officeDocument/2006/relationships/hyperlink" Target="https://doi.org/10.1038/s41467-017-02063-5" TargetMode="External"/><Relationship Id="rId27" Type="http://schemas.openxmlformats.org/officeDocument/2006/relationships/hyperlink" Target="http://dx.doi.org/10.22541/au.165165305.52615621/v1" TargetMode="External"/><Relationship Id="rId48" Type="http://schemas.openxmlformats.org/officeDocument/2006/relationships/hyperlink" Target="https://doi.org/10.1111/1755-0998.13271" TargetMode="External"/><Relationship Id="rId69" Type="http://schemas.openxmlformats.org/officeDocument/2006/relationships/hyperlink" Target="https://doi.org/10.1038/s41598-019-46610-0" TargetMode="External"/><Relationship Id="rId113" Type="http://schemas.openxmlformats.org/officeDocument/2006/relationships/hyperlink" Target="https://doi.org/10.1002/tpg2.20001" TargetMode="External"/><Relationship Id="rId134" Type="http://schemas.openxmlformats.org/officeDocument/2006/relationships/hyperlink" Target="https://doi.org/10.1093/g3journal/jkaa049" TargetMode="External"/><Relationship Id="rId80" Type="http://schemas.openxmlformats.org/officeDocument/2006/relationships/hyperlink" Target="https://doi.org/10.21203/rs.3.rs-3916840/v1" TargetMode="External"/><Relationship Id="rId155" Type="http://schemas.openxmlformats.org/officeDocument/2006/relationships/hyperlink" Target="https://doi.org/10.1111/j.1365-313X.2007.03326.x" TargetMode="External"/><Relationship Id="rId17" Type="http://schemas.openxmlformats.org/officeDocument/2006/relationships/hyperlink" Target="https://doi.org/10.1038/s41588-024-01683-0" TargetMode="External"/><Relationship Id="rId38" Type="http://schemas.openxmlformats.org/officeDocument/2006/relationships/hyperlink" Target="https://doi.org/10.12688/wellcomeopenres.22994.1" TargetMode="External"/><Relationship Id="rId59" Type="http://schemas.openxmlformats.org/officeDocument/2006/relationships/hyperlink" Target="https://doi.org/10.1186/s13059-016-1080-3" TargetMode="External"/><Relationship Id="rId103" Type="http://schemas.openxmlformats.org/officeDocument/2006/relationships/hyperlink" Target="https://doi.org/10.1016/j.cub.2018.05.066" TargetMode="External"/><Relationship Id="rId124" Type="http://schemas.openxmlformats.org/officeDocument/2006/relationships/hyperlink" Target="https://doi.org/10.12688/wellcomeopenres.23143.1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86/s12864-016-2734-y" TargetMode="External"/><Relationship Id="rId21" Type="http://schemas.openxmlformats.org/officeDocument/2006/relationships/hyperlink" Target="https://doi.org/10.1186/s12864-016-2734-y" TargetMode="External"/><Relationship Id="rId42" Type="http://schemas.openxmlformats.org/officeDocument/2006/relationships/hyperlink" Target="https://doi.org/10.3389/fpls.2021.729734" TargetMode="External"/><Relationship Id="rId47" Type="http://schemas.openxmlformats.org/officeDocument/2006/relationships/hyperlink" Target="https://doi.org/10.1093/aob/mcae022" TargetMode="External"/><Relationship Id="rId63" Type="http://schemas.openxmlformats.org/officeDocument/2006/relationships/hyperlink" Target="https://www.ncbi.nlm.nih.gov/sra/SRX14985687%5Baccn%5D" TargetMode="External"/><Relationship Id="rId68" Type="http://schemas.openxmlformats.org/officeDocument/2006/relationships/hyperlink" Target="https://doi.org/10.1093/gigascience/giz007" TargetMode="External"/><Relationship Id="rId2" Type="http://schemas.openxmlformats.org/officeDocument/2006/relationships/hyperlink" Target="https://doi.org/10.1111/nph.19272" TargetMode="External"/><Relationship Id="rId16" Type="http://schemas.openxmlformats.org/officeDocument/2006/relationships/hyperlink" Target="https://doi.org/10.1186/s12864-016-2734-y" TargetMode="External"/><Relationship Id="rId29" Type="http://schemas.openxmlformats.org/officeDocument/2006/relationships/hyperlink" Target="https://doi.org/10.3389/fpls.2022.935751" TargetMode="External"/><Relationship Id="rId11" Type="http://schemas.openxmlformats.org/officeDocument/2006/relationships/hyperlink" Target="https://doi.org/10.1371/journal.pone.0092501" TargetMode="External"/><Relationship Id="rId24" Type="http://schemas.openxmlformats.org/officeDocument/2006/relationships/hyperlink" Target="https://doi.org/10.3389/fpls.2022.921937" TargetMode="External"/><Relationship Id="rId32" Type="http://schemas.openxmlformats.org/officeDocument/2006/relationships/hyperlink" Target="https://doi.org/10.3390/f11121331" TargetMode="External"/><Relationship Id="rId37" Type="http://schemas.openxmlformats.org/officeDocument/2006/relationships/hyperlink" Target="https://doi.org/10.1016/j.xplc.2023.100562" TargetMode="External"/><Relationship Id="rId40" Type="http://schemas.openxmlformats.org/officeDocument/2006/relationships/hyperlink" Target="https://doi.org/10.1002/tpg2.20123" TargetMode="External"/><Relationship Id="rId45" Type="http://schemas.openxmlformats.org/officeDocument/2006/relationships/hyperlink" Target="https://doi.org/10.1002/tpg2.20123" TargetMode="External"/><Relationship Id="rId53" Type="http://schemas.openxmlformats.org/officeDocument/2006/relationships/hyperlink" Target="https://www.ncbi.nlm.nih.gov/sra/SRX11184898%5Baccn%5D" TargetMode="External"/><Relationship Id="rId58" Type="http://schemas.openxmlformats.org/officeDocument/2006/relationships/hyperlink" Target="https://doi.org/10.1093/gigascience/giad061" TargetMode="External"/><Relationship Id="rId66" Type="http://schemas.openxmlformats.org/officeDocument/2006/relationships/hyperlink" Target="https://doi.org/10.1093/gigascience/giz007" TargetMode="External"/><Relationship Id="rId5" Type="http://schemas.openxmlformats.org/officeDocument/2006/relationships/hyperlink" Target="https://doi.org/10.1111/pbi.12606" TargetMode="External"/><Relationship Id="rId61" Type="http://schemas.openxmlformats.org/officeDocument/2006/relationships/hyperlink" Target="https://www.ncbi.nlm.nih.gov/sra/SRX10020148%5Baccn%5D" TargetMode="External"/><Relationship Id="rId19" Type="http://schemas.openxmlformats.org/officeDocument/2006/relationships/hyperlink" Target="https://doi.org/10.1186/s12864-016-2734-y" TargetMode="External"/><Relationship Id="rId14" Type="http://schemas.openxmlformats.org/officeDocument/2006/relationships/hyperlink" Target="https://doi.org/10.1186/s12864-016-2734-y" TargetMode="External"/><Relationship Id="rId22" Type="http://schemas.openxmlformats.org/officeDocument/2006/relationships/hyperlink" Target="https://doi.org/10.1186/s12864-016-2734-y" TargetMode="External"/><Relationship Id="rId27" Type="http://schemas.openxmlformats.org/officeDocument/2006/relationships/hyperlink" Target="https://doi.org/10.1186/s12864-016-2734-y" TargetMode="External"/><Relationship Id="rId30" Type="http://schemas.openxmlformats.org/officeDocument/2006/relationships/hyperlink" Target="https://doi.org/10.3389/fpls.2022.935751" TargetMode="External"/><Relationship Id="rId35" Type="http://schemas.openxmlformats.org/officeDocument/2006/relationships/hyperlink" Target="https://doi.org/10.3389/fpls.2022.935751" TargetMode="External"/><Relationship Id="rId43" Type="http://schemas.openxmlformats.org/officeDocument/2006/relationships/hyperlink" Target="https://doi.org/10.3389/fgene.2020.00317" TargetMode="External"/><Relationship Id="rId48" Type="http://schemas.openxmlformats.org/officeDocument/2006/relationships/hyperlink" Target="https://doi.org/10.1093/aob/mcae022" TargetMode="External"/><Relationship Id="rId56" Type="http://schemas.openxmlformats.org/officeDocument/2006/relationships/hyperlink" Target="https://doi.org/10.1093/gigascience/giad061" TargetMode="External"/><Relationship Id="rId64" Type="http://schemas.openxmlformats.org/officeDocument/2006/relationships/hyperlink" Target="http://dx.doi.org/10.2306/scienceasia1513-1874.2024.083" TargetMode="External"/><Relationship Id="rId69" Type="http://schemas.openxmlformats.org/officeDocument/2006/relationships/hyperlink" Target="https://www.ncbi.nlm.nih.gov/sra/SRX4043118%5Baccn%5D" TargetMode="External"/><Relationship Id="rId8" Type="http://schemas.openxmlformats.org/officeDocument/2006/relationships/hyperlink" Target="https://doi.org/10.1111/tpj.16729" TargetMode="External"/><Relationship Id="rId51" Type="http://schemas.openxmlformats.org/officeDocument/2006/relationships/hyperlink" Target="https://doi.org/10.1093/gigascience/giad061" TargetMode="External"/><Relationship Id="rId72" Type="http://schemas.openxmlformats.org/officeDocument/2006/relationships/hyperlink" Target="https://doi.org/10.1093/gigascience/giz007" TargetMode="External"/><Relationship Id="rId3" Type="http://schemas.openxmlformats.org/officeDocument/2006/relationships/hyperlink" Target="https://doi.org/10.1111/ele.12484" TargetMode="External"/><Relationship Id="rId12" Type="http://schemas.openxmlformats.org/officeDocument/2006/relationships/hyperlink" Target="https://doi.org/10.1186/s12864-016-2734-y" TargetMode="External"/><Relationship Id="rId17" Type="http://schemas.openxmlformats.org/officeDocument/2006/relationships/hyperlink" Target="https://doi.org/10.1186/s12864-016-2734-y" TargetMode="External"/><Relationship Id="rId25" Type="http://schemas.openxmlformats.org/officeDocument/2006/relationships/hyperlink" Target="https://doi.org/10.1186/s12864-016-2734-y" TargetMode="External"/><Relationship Id="rId33" Type="http://schemas.openxmlformats.org/officeDocument/2006/relationships/hyperlink" Target="https://doi.org/10.3390/f11121331" TargetMode="External"/><Relationship Id="rId38" Type="http://schemas.openxmlformats.org/officeDocument/2006/relationships/hyperlink" Target="https://doi.org/10.3390/f11121331" TargetMode="External"/><Relationship Id="rId46" Type="http://schemas.openxmlformats.org/officeDocument/2006/relationships/hyperlink" Target="https://doi.org/10.1002/tpg2.20123" TargetMode="External"/><Relationship Id="rId59" Type="http://schemas.openxmlformats.org/officeDocument/2006/relationships/hyperlink" Target="https://www.ncbi.nlm.nih.gov/sra/SRX18974740%5Baccn%5D" TargetMode="External"/><Relationship Id="rId67" Type="http://schemas.openxmlformats.org/officeDocument/2006/relationships/hyperlink" Target="https://www.ncbi.nlm.nih.gov/sra/SRX4043144%5Baccn%5D" TargetMode="External"/><Relationship Id="rId20" Type="http://schemas.openxmlformats.org/officeDocument/2006/relationships/hyperlink" Target="https://doi.org/10.1186/s12864-016-2734-y" TargetMode="External"/><Relationship Id="rId41" Type="http://schemas.openxmlformats.org/officeDocument/2006/relationships/hyperlink" Target="https://doi.org/10.3389/fpls.2021.729734" TargetMode="External"/><Relationship Id="rId54" Type="http://schemas.openxmlformats.org/officeDocument/2006/relationships/hyperlink" Target="https://www.ncbi.nlm.nih.gov/sra/SRX11237334%5Baccn%5D" TargetMode="External"/><Relationship Id="rId62" Type="http://schemas.openxmlformats.org/officeDocument/2006/relationships/hyperlink" Target="https://doi.org/10.1080/23802359.2021.1967798" TargetMode="External"/><Relationship Id="rId70" Type="http://schemas.openxmlformats.org/officeDocument/2006/relationships/hyperlink" Target="https://doi.org/10.1093/gigascience/giz007" TargetMode="External"/><Relationship Id="rId1" Type="http://schemas.openxmlformats.org/officeDocument/2006/relationships/hyperlink" Target="https://doi.org/10.1093/gigascience/giac034" TargetMode="External"/><Relationship Id="rId6" Type="http://schemas.openxmlformats.org/officeDocument/2006/relationships/hyperlink" Target="https://doi.org/10.3329/bjb.v50i1.52673" TargetMode="External"/><Relationship Id="rId15" Type="http://schemas.openxmlformats.org/officeDocument/2006/relationships/hyperlink" Target="https://doi.org/10.1186/s12864-016-2734-y" TargetMode="External"/><Relationship Id="rId23" Type="http://schemas.openxmlformats.org/officeDocument/2006/relationships/hyperlink" Target="https://doi.org/10.3389/fpls.2022.921937" TargetMode="External"/><Relationship Id="rId28" Type="http://schemas.openxmlformats.org/officeDocument/2006/relationships/hyperlink" Target="https://doi.org/10.3389/fpls.2022.935751" TargetMode="External"/><Relationship Id="rId36" Type="http://schemas.openxmlformats.org/officeDocument/2006/relationships/hyperlink" Target="https://doi.org/10.3389/fpls.2022.935751" TargetMode="External"/><Relationship Id="rId49" Type="http://schemas.openxmlformats.org/officeDocument/2006/relationships/hyperlink" Target="https://doi.org/10.1093/aob/mcae022" TargetMode="External"/><Relationship Id="rId57" Type="http://schemas.openxmlformats.org/officeDocument/2006/relationships/hyperlink" Target="https://www.ncbi.nlm.nih.gov/sra/SRX18974737%5Baccn%5D" TargetMode="External"/><Relationship Id="rId10" Type="http://schemas.openxmlformats.org/officeDocument/2006/relationships/hyperlink" Target="https://doi.org/10.1111/tpj.16729" TargetMode="External"/><Relationship Id="rId31" Type="http://schemas.openxmlformats.org/officeDocument/2006/relationships/hyperlink" Target="https://doi.org/10.3389/fpls.2022.935751" TargetMode="External"/><Relationship Id="rId44" Type="http://schemas.openxmlformats.org/officeDocument/2006/relationships/hyperlink" Target="https://doi.org/10.1002/tpg2.20123" TargetMode="External"/><Relationship Id="rId52" Type="http://schemas.openxmlformats.org/officeDocument/2006/relationships/hyperlink" Target="https://doi.org/10.1093/gigascience/giad061" TargetMode="External"/><Relationship Id="rId60" Type="http://schemas.openxmlformats.org/officeDocument/2006/relationships/hyperlink" Target="https://doi.org/10.1093/gigascience/giad061" TargetMode="External"/><Relationship Id="rId65" Type="http://schemas.openxmlformats.org/officeDocument/2006/relationships/hyperlink" Target="https://www.ncbi.nlm.nih.gov/sra/SRX4043472%5Baccn%5D" TargetMode="External"/><Relationship Id="rId73" Type="http://schemas.openxmlformats.org/officeDocument/2006/relationships/hyperlink" Target="https://www.ncbi.nlm.nih.gov/sra/SRX11740024%5Baccn%5D" TargetMode="External"/><Relationship Id="rId4" Type="http://schemas.openxmlformats.org/officeDocument/2006/relationships/hyperlink" Target="https://doi.org/10.1111/ele.12484" TargetMode="External"/><Relationship Id="rId9" Type="http://schemas.openxmlformats.org/officeDocument/2006/relationships/hyperlink" Target="https://doi.org/10.1111/tpj.16729" TargetMode="External"/><Relationship Id="rId13" Type="http://schemas.openxmlformats.org/officeDocument/2006/relationships/hyperlink" Target="https://doi.org/10.1186/s12864-016-2734-y" TargetMode="External"/><Relationship Id="rId18" Type="http://schemas.openxmlformats.org/officeDocument/2006/relationships/hyperlink" Target="https://doi.org/10.1186/s12864-016-2734-y" TargetMode="External"/><Relationship Id="rId39" Type="http://schemas.openxmlformats.org/officeDocument/2006/relationships/hyperlink" Target="https://doi.org/10.1002/tpg2.20123" TargetMode="External"/><Relationship Id="rId34" Type="http://schemas.openxmlformats.org/officeDocument/2006/relationships/hyperlink" Target="https://doi.org/10.3389/fpls.2022.935751" TargetMode="External"/><Relationship Id="rId50" Type="http://schemas.openxmlformats.org/officeDocument/2006/relationships/hyperlink" Target="https://doi.org/10.1093/aob/mcae022" TargetMode="External"/><Relationship Id="rId55" Type="http://schemas.openxmlformats.org/officeDocument/2006/relationships/hyperlink" Target="https://www.ncbi.nlm.nih.gov/sra/SRX18974886%5Baccn%5D" TargetMode="External"/><Relationship Id="rId7" Type="http://schemas.openxmlformats.org/officeDocument/2006/relationships/hyperlink" Target="https://doi.org/10.3329/bjb.v50i1.52673" TargetMode="External"/><Relationship Id="rId71" Type="http://schemas.openxmlformats.org/officeDocument/2006/relationships/hyperlink" Target="https://www.ncbi.nlm.nih.gov/sra/SRX4043524%5Baccn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84E5-6B69-2A48-91BA-720C223EF64D}">
  <dimension ref="A1:U728"/>
  <sheetViews>
    <sheetView tabSelected="1" topLeftCell="C629" workbookViewId="0">
      <selection activeCell="U654" sqref="S654:U654"/>
    </sheetView>
  </sheetViews>
  <sheetFormatPr baseColWidth="10" defaultRowHeight="13"/>
  <cols>
    <col min="3" max="3" width="24.5" customWidth="1"/>
    <col min="12" max="12" width="16.83203125" customWidth="1"/>
  </cols>
  <sheetData>
    <row r="1" spans="1:21" s="40" customFormat="1">
      <c r="A1" s="40" t="s">
        <v>3</v>
      </c>
      <c r="B1" s="40" t="s">
        <v>1969</v>
      </c>
      <c r="C1" s="40" t="s">
        <v>4</v>
      </c>
      <c r="D1" s="40" t="s">
        <v>1970</v>
      </c>
      <c r="E1" s="40" t="s">
        <v>1971</v>
      </c>
      <c r="F1" s="40" t="s">
        <v>1972</v>
      </c>
      <c r="G1" s="40" t="s">
        <v>1973</v>
      </c>
      <c r="H1" s="40" t="s">
        <v>1974</v>
      </c>
      <c r="I1" s="40" t="s">
        <v>1975</v>
      </c>
      <c r="J1" s="40" t="s">
        <v>1976</v>
      </c>
      <c r="K1" s="40" t="s">
        <v>1977</v>
      </c>
      <c r="L1" s="40" t="s">
        <v>3546</v>
      </c>
      <c r="M1" s="40" t="s">
        <v>3547</v>
      </c>
      <c r="N1" s="40" t="s">
        <v>3548</v>
      </c>
      <c r="O1" s="40" t="s">
        <v>3549</v>
      </c>
      <c r="P1" s="40" t="s">
        <v>3550</v>
      </c>
      <c r="Q1" s="40" t="s">
        <v>3551</v>
      </c>
      <c r="R1" s="40" t="s">
        <v>1978</v>
      </c>
      <c r="S1" s="40" t="s">
        <v>1979</v>
      </c>
      <c r="T1" s="40" t="s">
        <v>1980</v>
      </c>
      <c r="U1" s="40" t="s">
        <v>1981</v>
      </c>
    </row>
    <row r="2" spans="1:21">
      <c r="A2" t="s">
        <v>1232</v>
      </c>
      <c r="B2" t="s">
        <v>31</v>
      </c>
      <c r="C2" t="s">
        <v>1214</v>
      </c>
      <c r="D2" t="s">
        <v>1233</v>
      </c>
      <c r="E2" t="s">
        <v>1987</v>
      </c>
      <c r="F2" t="s">
        <v>31</v>
      </c>
      <c r="G2" t="s">
        <v>18</v>
      </c>
      <c r="H2">
        <v>102</v>
      </c>
      <c r="I2">
        <v>5139</v>
      </c>
      <c r="J2">
        <v>203</v>
      </c>
      <c r="K2">
        <v>148</v>
      </c>
      <c r="L2">
        <v>14538313898</v>
      </c>
      <c r="M2">
        <v>138393</v>
      </c>
      <c r="N2">
        <v>105050.93</v>
      </c>
      <c r="O2">
        <v>855759449</v>
      </c>
      <c r="P2">
        <v>705338699</v>
      </c>
      <c r="Q2">
        <v>515668560</v>
      </c>
      <c r="R2" t="s">
        <v>1983</v>
      </c>
      <c r="S2" t="s">
        <v>1984</v>
      </c>
      <c r="T2" t="s">
        <v>1985</v>
      </c>
      <c r="U2" t="s">
        <v>1988</v>
      </c>
    </row>
    <row r="3" spans="1:21">
      <c r="A3" t="s">
        <v>1221</v>
      </c>
      <c r="B3" t="s">
        <v>31</v>
      </c>
      <c r="C3" t="s">
        <v>1214</v>
      </c>
      <c r="D3" t="s">
        <v>1222</v>
      </c>
      <c r="E3" t="s">
        <v>1987</v>
      </c>
      <c r="F3" t="s">
        <v>31</v>
      </c>
      <c r="G3" t="s">
        <v>18</v>
      </c>
      <c r="H3">
        <v>100</v>
      </c>
      <c r="I3">
        <v>5149</v>
      </c>
      <c r="J3">
        <v>196</v>
      </c>
      <c r="K3">
        <v>147</v>
      </c>
      <c r="L3">
        <v>14281318419</v>
      </c>
      <c r="M3">
        <v>119569</v>
      </c>
      <c r="N3">
        <v>119439.98</v>
      </c>
      <c r="O3">
        <v>839470345</v>
      </c>
      <c r="P3">
        <v>688905267</v>
      </c>
      <c r="Q3">
        <v>506585010</v>
      </c>
      <c r="R3" t="s">
        <v>1983</v>
      </c>
      <c r="S3" t="s">
        <v>1984</v>
      </c>
      <c r="T3" t="s">
        <v>1985</v>
      </c>
      <c r="U3" t="s">
        <v>1988</v>
      </c>
    </row>
    <row r="4" spans="1:21">
      <c r="A4" t="s">
        <v>1227</v>
      </c>
      <c r="B4" t="s">
        <v>31</v>
      </c>
      <c r="C4" t="s">
        <v>1214</v>
      </c>
      <c r="D4" t="s">
        <v>1228</v>
      </c>
      <c r="E4" t="s">
        <v>1987</v>
      </c>
      <c r="F4" t="s">
        <v>31</v>
      </c>
      <c r="G4" t="s">
        <v>18</v>
      </c>
      <c r="H4">
        <v>102</v>
      </c>
      <c r="I4">
        <v>5138</v>
      </c>
      <c r="J4">
        <v>201</v>
      </c>
      <c r="K4">
        <v>151</v>
      </c>
      <c r="L4">
        <v>14463524036</v>
      </c>
      <c r="M4">
        <v>104381</v>
      </c>
      <c r="N4">
        <v>138564.72</v>
      </c>
      <c r="O4">
        <v>856542542</v>
      </c>
      <c r="P4">
        <v>713929667</v>
      </c>
      <c r="Q4">
        <v>504254270</v>
      </c>
      <c r="R4" t="s">
        <v>1983</v>
      </c>
      <c r="S4" t="s">
        <v>1984</v>
      </c>
      <c r="T4" t="s">
        <v>1985</v>
      </c>
      <c r="U4" t="s">
        <v>1988</v>
      </c>
    </row>
    <row r="5" spans="1:21">
      <c r="A5" t="s">
        <v>529</v>
      </c>
      <c r="B5" t="s">
        <v>31</v>
      </c>
      <c r="C5" t="s">
        <v>523</v>
      </c>
      <c r="D5" t="s">
        <v>31</v>
      </c>
      <c r="E5" t="s">
        <v>1982</v>
      </c>
      <c r="F5" t="s">
        <v>524</v>
      </c>
      <c r="G5" t="s">
        <v>18</v>
      </c>
      <c r="H5">
        <v>22</v>
      </c>
      <c r="I5">
        <v>5146</v>
      </c>
      <c r="J5">
        <v>238</v>
      </c>
      <c r="K5">
        <v>186</v>
      </c>
      <c r="L5">
        <v>14080097902</v>
      </c>
      <c r="M5">
        <v>11072</v>
      </c>
      <c r="N5">
        <v>1271685.1399999999</v>
      </c>
      <c r="O5">
        <v>556619333</v>
      </c>
      <c r="P5">
        <v>472050116</v>
      </c>
      <c r="Q5">
        <v>405189081</v>
      </c>
      <c r="R5" t="s">
        <v>1983</v>
      </c>
      <c r="S5" t="s">
        <v>1984</v>
      </c>
      <c r="T5" t="s">
        <v>1985</v>
      </c>
      <c r="U5" t="s">
        <v>1986</v>
      </c>
    </row>
    <row r="6" spans="1:21">
      <c r="A6" t="s">
        <v>541</v>
      </c>
      <c r="B6" t="s">
        <v>31</v>
      </c>
      <c r="C6" t="s">
        <v>523</v>
      </c>
      <c r="D6" t="s">
        <v>31</v>
      </c>
      <c r="E6" t="s">
        <v>1982</v>
      </c>
      <c r="F6" t="s">
        <v>524</v>
      </c>
      <c r="G6" t="s">
        <v>18</v>
      </c>
      <c r="H6">
        <v>34</v>
      </c>
      <c r="I6">
        <v>5144</v>
      </c>
      <c r="J6">
        <v>227</v>
      </c>
      <c r="K6">
        <v>187</v>
      </c>
      <c r="L6">
        <v>14389271479</v>
      </c>
      <c r="M6">
        <v>14098</v>
      </c>
      <c r="N6">
        <v>1020660.48</v>
      </c>
      <c r="O6">
        <v>561888103</v>
      </c>
      <c r="P6">
        <v>456054156</v>
      </c>
      <c r="Q6">
        <v>8334725</v>
      </c>
      <c r="R6" t="s">
        <v>1983</v>
      </c>
      <c r="S6" t="s">
        <v>1984</v>
      </c>
      <c r="T6" t="s">
        <v>1985</v>
      </c>
      <c r="U6" t="s">
        <v>1986</v>
      </c>
    </row>
    <row r="7" spans="1:21">
      <c r="A7" t="s">
        <v>2060</v>
      </c>
      <c r="B7" t="s">
        <v>31</v>
      </c>
      <c r="C7" t="s">
        <v>1509</v>
      </c>
      <c r="D7" t="s">
        <v>2061</v>
      </c>
      <c r="E7" t="s">
        <v>1982</v>
      </c>
      <c r="F7" t="s">
        <v>197</v>
      </c>
      <c r="G7" t="s">
        <v>18</v>
      </c>
      <c r="H7">
        <v>3980</v>
      </c>
      <c r="I7">
        <v>1191</v>
      </c>
      <c r="J7">
        <v>382</v>
      </c>
      <c r="K7">
        <v>39</v>
      </c>
      <c r="L7">
        <v>1535690757</v>
      </c>
      <c r="M7">
        <v>85819</v>
      </c>
      <c r="N7">
        <v>17894.53</v>
      </c>
      <c r="O7">
        <v>161452156</v>
      </c>
      <c r="P7">
        <v>106765029</v>
      </c>
      <c r="Q7">
        <v>10784</v>
      </c>
      <c r="R7" t="s">
        <v>1992</v>
      </c>
      <c r="S7" t="s">
        <v>1993</v>
      </c>
      <c r="T7" t="s">
        <v>2017</v>
      </c>
      <c r="U7" t="s">
        <v>2062</v>
      </c>
    </row>
    <row r="8" spans="1:21">
      <c r="A8" t="s">
        <v>2187</v>
      </c>
      <c r="B8" t="s">
        <v>31</v>
      </c>
      <c r="C8" t="s">
        <v>2188</v>
      </c>
      <c r="D8" t="s">
        <v>2189</v>
      </c>
      <c r="E8" t="s">
        <v>1982</v>
      </c>
      <c r="F8" t="s">
        <v>71</v>
      </c>
      <c r="G8" t="s">
        <v>1991</v>
      </c>
      <c r="H8">
        <v>42</v>
      </c>
      <c r="I8">
        <v>5530</v>
      </c>
      <c r="J8">
        <v>9</v>
      </c>
      <c r="K8">
        <v>11</v>
      </c>
      <c r="L8">
        <v>1946409527</v>
      </c>
      <c r="M8">
        <v>3610</v>
      </c>
      <c r="N8">
        <v>539171.61</v>
      </c>
      <c r="O8">
        <v>12659383</v>
      </c>
      <c r="P8">
        <v>1448483</v>
      </c>
      <c r="Q8">
        <v>244299</v>
      </c>
      <c r="R8" t="s">
        <v>1992</v>
      </c>
      <c r="S8" t="s">
        <v>1993</v>
      </c>
      <c r="T8" t="s">
        <v>1994</v>
      </c>
      <c r="U8" t="s">
        <v>31</v>
      </c>
    </row>
    <row r="9" spans="1:21">
      <c r="A9" t="s">
        <v>2196</v>
      </c>
      <c r="B9" t="s">
        <v>31</v>
      </c>
      <c r="C9" t="s">
        <v>2197</v>
      </c>
      <c r="D9" t="s">
        <v>2198</v>
      </c>
      <c r="E9" t="s">
        <v>1982</v>
      </c>
      <c r="F9" t="s">
        <v>71</v>
      </c>
      <c r="G9" t="s">
        <v>1991</v>
      </c>
      <c r="H9">
        <v>33</v>
      </c>
      <c r="I9">
        <v>5553</v>
      </c>
      <c r="J9">
        <v>5</v>
      </c>
      <c r="K9">
        <v>1</v>
      </c>
      <c r="L9">
        <v>1335640055</v>
      </c>
      <c r="M9">
        <v>1411</v>
      </c>
      <c r="N9">
        <v>946591.11</v>
      </c>
      <c r="O9">
        <v>101950220</v>
      </c>
      <c r="P9">
        <v>27829814</v>
      </c>
      <c r="Q9">
        <v>5749796</v>
      </c>
      <c r="R9" t="s">
        <v>1992</v>
      </c>
      <c r="S9" t="s">
        <v>1993</v>
      </c>
      <c r="T9" t="s">
        <v>1994</v>
      </c>
      <c r="U9" t="s">
        <v>1998</v>
      </c>
    </row>
    <row r="10" spans="1:21">
      <c r="A10" t="s">
        <v>346</v>
      </c>
      <c r="B10" t="s">
        <v>31</v>
      </c>
      <c r="C10" t="s">
        <v>339</v>
      </c>
      <c r="D10" t="s">
        <v>347</v>
      </c>
      <c r="E10" t="s">
        <v>1987</v>
      </c>
      <c r="F10" t="s">
        <v>348</v>
      </c>
      <c r="G10" t="s">
        <v>18</v>
      </c>
      <c r="H10">
        <v>5104</v>
      </c>
      <c r="I10">
        <v>224</v>
      </c>
      <c r="J10">
        <v>135</v>
      </c>
      <c r="K10">
        <v>129</v>
      </c>
      <c r="L10">
        <v>1280016620</v>
      </c>
      <c r="M10">
        <v>3362</v>
      </c>
      <c r="N10">
        <v>380730.7</v>
      </c>
      <c r="O10">
        <v>2711986</v>
      </c>
      <c r="P10">
        <v>594251</v>
      </c>
      <c r="Q10">
        <v>202355</v>
      </c>
      <c r="R10" t="s">
        <v>1992</v>
      </c>
      <c r="S10" t="s">
        <v>1993</v>
      </c>
      <c r="T10" t="s">
        <v>1994</v>
      </c>
      <c r="U10" t="s">
        <v>2446</v>
      </c>
    </row>
    <row r="11" spans="1:21">
      <c r="A11" t="s">
        <v>1373</v>
      </c>
      <c r="B11" t="s">
        <v>31</v>
      </c>
      <c r="C11" t="s">
        <v>1374</v>
      </c>
      <c r="D11" t="s">
        <v>2059</v>
      </c>
      <c r="E11" t="s">
        <v>1987</v>
      </c>
      <c r="F11" t="s">
        <v>204</v>
      </c>
      <c r="G11" t="s">
        <v>1376</v>
      </c>
      <c r="H11">
        <v>2156</v>
      </c>
      <c r="I11">
        <v>1439</v>
      </c>
      <c r="J11">
        <v>1809</v>
      </c>
      <c r="K11">
        <v>188</v>
      </c>
      <c r="L11">
        <v>7656621509</v>
      </c>
      <c r="M11">
        <v>14110232</v>
      </c>
      <c r="N11">
        <v>542.63</v>
      </c>
      <c r="O11">
        <v>116370</v>
      </c>
      <c r="P11">
        <v>625</v>
      </c>
      <c r="Q11">
        <v>254</v>
      </c>
      <c r="R11" t="s">
        <v>1983</v>
      </c>
      <c r="S11" t="s">
        <v>1984</v>
      </c>
      <c r="T11" t="s">
        <v>1985</v>
      </c>
      <c r="U11" t="s">
        <v>1988</v>
      </c>
    </row>
    <row r="12" spans="1:21">
      <c r="A12" t="s">
        <v>30</v>
      </c>
      <c r="B12" t="s">
        <v>31</v>
      </c>
      <c r="C12" t="s">
        <v>24</v>
      </c>
      <c r="D12" t="s">
        <v>31</v>
      </c>
      <c r="E12" t="s">
        <v>1987</v>
      </c>
      <c r="F12" t="s">
        <v>31</v>
      </c>
      <c r="G12" t="s">
        <v>18</v>
      </c>
      <c r="H12">
        <v>4034</v>
      </c>
      <c r="I12">
        <v>1118</v>
      </c>
      <c r="J12">
        <v>255</v>
      </c>
      <c r="K12">
        <v>185</v>
      </c>
      <c r="L12">
        <v>6689482705</v>
      </c>
      <c r="M12">
        <v>127931</v>
      </c>
      <c r="N12">
        <v>52289.77</v>
      </c>
      <c r="O12">
        <v>956173857</v>
      </c>
      <c r="P12">
        <v>862608691</v>
      </c>
      <c r="Q12">
        <v>242600</v>
      </c>
      <c r="R12" t="s">
        <v>1983</v>
      </c>
      <c r="S12" t="s">
        <v>1984</v>
      </c>
      <c r="T12" t="s">
        <v>1985</v>
      </c>
      <c r="U12" t="s">
        <v>1988</v>
      </c>
    </row>
    <row r="13" spans="1:21">
      <c r="A13" t="s">
        <v>1409</v>
      </c>
      <c r="B13" t="s">
        <v>31</v>
      </c>
      <c r="C13" t="s">
        <v>1410</v>
      </c>
      <c r="D13" t="s">
        <v>2059</v>
      </c>
      <c r="E13" t="s">
        <v>1987</v>
      </c>
      <c r="F13" t="s">
        <v>204</v>
      </c>
      <c r="G13" t="s">
        <v>1376</v>
      </c>
      <c r="H13">
        <v>4015</v>
      </c>
      <c r="I13">
        <v>611</v>
      </c>
      <c r="J13">
        <v>769</v>
      </c>
      <c r="K13">
        <v>197</v>
      </c>
      <c r="L13">
        <v>4255394847</v>
      </c>
      <c r="M13">
        <v>8399510</v>
      </c>
      <c r="N13">
        <v>506.62</v>
      </c>
      <c r="O13">
        <v>73907</v>
      </c>
      <c r="P13">
        <v>539</v>
      </c>
      <c r="Q13">
        <v>239</v>
      </c>
      <c r="R13" t="s">
        <v>1983</v>
      </c>
      <c r="S13" t="s">
        <v>1984</v>
      </c>
      <c r="T13" t="s">
        <v>1985</v>
      </c>
      <c r="U13" t="s">
        <v>1988</v>
      </c>
    </row>
    <row r="14" spans="1:21">
      <c r="A14" t="s">
        <v>43</v>
      </c>
      <c r="B14" t="s">
        <v>31</v>
      </c>
      <c r="C14" t="s">
        <v>44</v>
      </c>
      <c r="D14" t="s">
        <v>31</v>
      </c>
      <c r="E14" t="s">
        <v>1987</v>
      </c>
      <c r="F14" t="s">
        <v>31</v>
      </c>
      <c r="G14" t="s">
        <v>18</v>
      </c>
      <c r="H14">
        <v>4084</v>
      </c>
      <c r="I14">
        <v>1077</v>
      </c>
      <c r="J14">
        <v>251</v>
      </c>
      <c r="K14">
        <v>180</v>
      </c>
      <c r="L14">
        <v>6704676607</v>
      </c>
      <c r="M14">
        <v>93484</v>
      </c>
      <c r="N14">
        <v>71720.039999999994</v>
      </c>
      <c r="O14">
        <v>1022071454</v>
      </c>
      <c r="P14">
        <v>867619200</v>
      </c>
      <c r="Q14">
        <v>782818162</v>
      </c>
      <c r="R14" t="s">
        <v>1983</v>
      </c>
      <c r="S14" t="s">
        <v>1984</v>
      </c>
      <c r="T14" t="s">
        <v>1985</v>
      </c>
      <c r="U14" t="s">
        <v>1988</v>
      </c>
    </row>
    <row r="15" spans="1:21">
      <c r="A15" t="s">
        <v>62</v>
      </c>
      <c r="B15" t="s">
        <v>31</v>
      </c>
      <c r="C15" t="s">
        <v>56</v>
      </c>
      <c r="D15" t="s">
        <v>63</v>
      </c>
      <c r="E15" t="s">
        <v>1987</v>
      </c>
      <c r="F15" t="s">
        <v>31</v>
      </c>
      <c r="G15" t="s">
        <v>18</v>
      </c>
      <c r="H15">
        <v>3835</v>
      </c>
      <c r="I15">
        <v>1288</v>
      </c>
      <c r="J15">
        <v>295</v>
      </c>
      <c r="K15">
        <v>174</v>
      </c>
      <c r="L15">
        <v>5116924366</v>
      </c>
      <c r="M15">
        <v>182594</v>
      </c>
      <c r="N15">
        <v>28023.51</v>
      </c>
      <c r="O15">
        <v>657893865</v>
      </c>
      <c r="P15">
        <v>536175046</v>
      </c>
      <c r="Q15">
        <v>20000</v>
      </c>
      <c r="R15" t="s">
        <v>1983</v>
      </c>
      <c r="S15" t="s">
        <v>1984</v>
      </c>
      <c r="T15" t="s">
        <v>1985</v>
      </c>
      <c r="U15" t="s">
        <v>1988</v>
      </c>
    </row>
    <row r="16" spans="1:21">
      <c r="A16" t="s">
        <v>1442</v>
      </c>
      <c r="B16" t="s">
        <v>31</v>
      </c>
      <c r="C16" t="s">
        <v>1443</v>
      </c>
      <c r="D16" t="s">
        <v>2059</v>
      </c>
      <c r="E16" t="s">
        <v>1987</v>
      </c>
      <c r="F16" t="s">
        <v>204</v>
      </c>
      <c r="G16" t="s">
        <v>1376</v>
      </c>
      <c r="H16">
        <v>2379</v>
      </c>
      <c r="I16">
        <v>1291</v>
      </c>
      <c r="J16">
        <v>1733</v>
      </c>
      <c r="K16">
        <v>189</v>
      </c>
      <c r="L16">
        <v>7164967767</v>
      </c>
      <c r="M16">
        <v>12906629</v>
      </c>
      <c r="N16">
        <v>555.14</v>
      </c>
      <c r="O16">
        <v>42954</v>
      </c>
      <c r="P16">
        <v>667</v>
      </c>
      <c r="Q16">
        <v>258</v>
      </c>
      <c r="R16" t="s">
        <v>1983</v>
      </c>
      <c r="S16" t="s">
        <v>1984</v>
      </c>
      <c r="T16" t="s">
        <v>1985</v>
      </c>
      <c r="U16" t="s">
        <v>1988</v>
      </c>
    </row>
    <row r="17" spans="1:21">
      <c r="A17" t="s">
        <v>68</v>
      </c>
      <c r="B17" t="s">
        <v>31</v>
      </c>
      <c r="C17" t="s">
        <v>69</v>
      </c>
      <c r="D17" t="s">
        <v>70</v>
      </c>
      <c r="E17" t="s">
        <v>1987</v>
      </c>
      <c r="F17" t="s">
        <v>71</v>
      </c>
      <c r="G17" t="s">
        <v>18</v>
      </c>
      <c r="H17">
        <v>4467</v>
      </c>
      <c r="I17">
        <v>691</v>
      </c>
      <c r="J17">
        <v>257</v>
      </c>
      <c r="K17">
        <v>177</v>
      </c>
      <c r="L17">
        <v>4218064899</v>
      </c>
      <c r="M17">
        <v>109196</v>
      </c>
      <c r="N17">
        <v>38628.379999999997</v>
      </c>
      <c r="O17">
        <v>650458083</v>
      </c>
      <c r="P17">
        <v>576238907</v>
      </c>
      <c r="Q17">
        <v>495363004</v>
      </c>
      <c r="R17" t="s">
        <v>1983</v>
      </c>
      <c r="S17" t="s">
        <v>1984</v>
      </c>
      <c r="T17" t="s">
        <v>1985</v>
      </c>
      <c r="U17" t="s">
        <v>1988</v>
      </c>
    </row>
    <row r="18" spans="1:21">
      <c r="A18" t="s">
        <v>2216</v>
      </c>
      <c r="B18" t="s">
        <v>31</v>
      </c>
      <c r="C18" t="s">
        <v>2217</v>
      </c>
      <c r="D18" t="s">
        <v>2218</v>
      </c>
      <c r="E18" t="s">
        <v>1982</v>
      </c>
      <c r="F18" t="s">
        <v>71</v>
      </c>
      <c r="G18" t="s">
        <v>1991</v>
      </c>
      <c r="H18">
        <v>4</v>
      </c>
      <c r="I18">
        <v>5585</v>
      </c>
      <c r="J18">
        <v>2</v>
      </c>
      <c r="K18">
        <v>1</v>
      </c>
      <c r="L18">
        <v>4598175493</v>
      </c>
      <c r="M18">
        <v>535</v>
      </c>
      <c r="N18">
        <v>8594720.5500000007</v>
      </c>
      <c r="O18">
        <v>113468769</v>
      </c>
      <c r="P18">
        <v>39857934</v>
      </c>
      <c r="Q18">
        <v>18659412</v>
      </c>
      <c r="R18" t="s">
        <v>1992</v>
      </c>
      <c r="S18" t="s">
        <v>1993</v>
      </c>
      <c r="T18" t="s">
        <v>1994</v>
      </c>
      <c r="U18" t="s">
        <v>1998</v>
      </c>
    </row>
    <row r="19" spans="1:21">
      <c r="A19" t="s">
        <v>1513</v>
      </c>
      <c r="B19" t="s">
        <v>31</v>
      </c>
      <c r="C19" t="s">
        <v>1514</v>
      </c>
      <c r="D19" t="s">
        <v>2059</v>
      </c>
      <c r="E19" t="s">
        <v>1987</v>
      </c>
      <c r="F19" t="s">
        <v>204</v>
      </c>
      <c r="G19" t="s">
        <v>1376</v>
      </c>
      <c r="H19">
        <v>1391</v>
      </c>
      <c r="I19">
        <v>2791</v>
      </c>
      <c r="J19">
        <v>1400</v>
      </c>
      <c r="K19">
        <v>10</v>
      </c>
      <c r="L19">
        <v>1473416878</v>
      </c>
      <c r="M19">
        <v>2131830</v>
      </c>
      <c r="N19">
        <v>691.15</v>
      </c>
      <c r="O19">
        <v>110326</v>
      </c>
      <c r="P19">
        <v>1247</v>
      </c>
      <c r="Q19">
        <v>283</v>
      </c>
      <c r="R19" t="s">
        <v>1992</v>
      </c>
      <c r="S19" t="s">
        <v>1993</v>
      </c>
      <c r="T19" t="s">
        <v>2017</v>
      </c>
      <c r="U19" t="s">
        <v>2062</v>
      </c>
    </row>
    <row r="20" spans="1:21">
      <c r="A20" t="s">
        <v>109</v>
      </c>
      <c r="B20" t="s">
        <v>31</v>
      </c>
      <c r="C20" t="s">
        <v>110</v>
      </c>
      <c r="D20" t="s">
        <v>111</v>
      </c>
      <c r="E20" t="s">
        <v>1987</v>
      </c>
      <c r="F20" t="s">
        <v>79</v>
      </c>
      <c r="G20" t="s">
        <v>18</v>
      </c>
      <c r="H20">
        <v>4243</v>
      </c>
      <c r="I20">
        <v>902</v>
      </c>
      <c r="J20">
        <v>280</v>
      </c>
      <c r="K20">
        <v>167</v>
      </c>
      <c r="L20">
        <v>3571731728</v>
      </c>
      <c r="M20">
        <v>4134</v>
      </c>
      <c r="N20">
        <v>863989.29</v>
      </c>
      <c r="O20">
        <v>781714917</v>
      </c>
      <c r="P20">
        <v>522029352</v>
      </c>
      <c r="Q20">
        <v>351570514</v>
      </c>
      <c r="R20" t="s">
        <v>1983</v>
      </c>
      <c r="S20" t="s">
        <v>1984</v>
      </c>
      <c r="T20" t="s">
        <v>2002</v>
      </c>
      <c r="U20" t="s">
        <v>2015</v>
      </c>
    </row>
    <row r="21" spans="1:21">
      <c r="A21" t="s">
        <v>3178</v>
      </c>
      <c r="B21" t="s">
        <v>3179</v>
      </c>
      <c r="C21" t="s">
        <v>3176</v>
      </c>
      <c r="D21" t="s">
        <v>3180</v>
      </c>
      <c r="E21" t="s">
        <v>31</v>
      </c>
      <c r="F21" t="s">
        <v>204</v>
      </c>
      <c r="G21" t="s">
        <v>1991</v>
      </c>
      <c r="H21">
        <v>5128</v>
      </c>
      <c r="I21">
        <v>188</v>
      </c>
      <c r="J21">
        <v>269</v>
      </c>
      <c r="K21">
        <v>7</v>
      </c>
      <c r="L21">
        <v>1584290077</v>
      </c>
      <c r="M21">
        <v>1893030</v>
      </c>
      <c r="N21">
        <v>836.91</v>
      </c>
      <c r="O21">
        <v>387393</v>
      </c>
      <c r="P21">
        <v>1495</v>
      </c>
      <c r="Q21">
        <v>314</v>
      </c>
      <c r="R21" t="s">
        <v>1992</v>
      </c>
      <c r="S21" t="s">
        <v>1993</v>
      </c>
      <c r="T21" t="s">
        <v>1994</v>
      </c>
      <c r="U21" t="s">
        <v>1998</v>
      </c>
    </row>
    <row r="22" spans="1:21">
      <c r="A22" t="s">
        <v>2746</v>
      </c>
      <c r="B22" t="s">
        <v>2747</v>
      </c>
      <c r="C22" t="s">
        <v>2744</v>
      </c>
      <c r="D22" t="s">
        <v>2748</v>
      </c>
      <c r="E22" t="s">
        <v>1982</v>
      </c>
      <c r="F22" t="s">
        <v>204</v>
      </c>
      <c r="G22" t="s">
        <v>1991</v>
      </c>
      <c r="H22">
        <v>3853</v>
      </c>
      <c r="I22">
        <v>589</v>
      </c>
      <c r="J22">
        <v>1149</v>
      </c>
      <c r="K22">
        <v>1</v>
      </c>
      <c r="L22">
        <v>960078415</v>
      </c>
      <c r="M22">
        <v>1259964</v>
      </c>
      <c r="N22">
        <v>761.99</v>
      </c>
      <c r="O22">
        <v>60166</v>
      </c>
      <c r="P22">
        <v>1025</v>
      </c>
      <c r="Q22">
        <v>336</v>
      </c>
      <c r="R22" t="s">
        <v>1992</v>
      </c>
      <c r="S22" t="s">
        <v>1993</v>
      </c>
      <c r="T22" t="s">
        <v>1994</v>
      </c>
      <c r="U22" t="s">
        <v>1995</v>
      </c>
    </row>
    <row r="23" spans="1:21">
      <c r="A23" t="s">
        <v>3440</v>
      </c>
      <c r="B23" t="s">
        <v>3441</v>
      </c>
      <c r="C23" t="s">
        <v>3442</v>
      </c>
      <c r="D23" t="s">
        <v>3443</v>
      </c>
      <c r="E23" t="s">
        <v>1987</v>
      </c>
      <c r="F23" t="s">
        <v>204</v>
      </c>
      <c r="G23" t="s">
        <v>1991</v>
      </c>
      <c r="H23">
        <v>2646</v>
      </c>
      <c r="I23">
        <v>1841</v>
      </c>
      <c r="J23">
        <v>1105</v>
      </c>
      <c r="K23">
        <v>0</v>
      </c>
      <c r="L23">
        <v>1821680865</v>
      </c>
      <c r="M23">
        <v>2783632</v>
      </c>
      <c r="N23">
        <v>654.42999999999995</v>
      </c>
      <c r="O23">
        <v>95404</v>
      </c>
      <c r="P23">
        <v>1155</v>
      </c>
      <c r="Q23">
        <v>263</v>
      </c>
      <c r="R23" t="s">
        <v>1992</v>
      </c>
      <c r="S23" t="s">
        <v>1993</v>
      </c>
      <c r="T23" t="s">
        <v>1994</v>
      </c>
      <c r="U23" t="s">
        <v>1995</v>
      </c>
    </row>
    <row r="24" spans="1:21">
      <c r="A24" t="s">
        <v>2756</v>
      </c>
      <c r="B24" t="s">
        <v>2757</v>
      </c>
      <c r="C24" t="s">
        <v>2758</v>
      </c>
      <c r="D24" t="s">
        <v>2759</v>
      </c>
      <c r="E24" t="s">
        <v>1982</v>
      </c>
      <c r="F24" t="s">
        <v>204</v>
      </c>
      <c r="G24" t="s">
        <v>1991</v>
      </c>
      <c r="H24">
        <v>4254</v>
      </c>
      <c r="I24">
        <v>445</v>
      </c>
      <c r="J24">
        <v>890</v>
      </c>
      <c r="K24">
        <v>3</v>
      </c>
      <c r="L24">
        <v>1703447824</v>
      </c>
      <c r="M24">
        <v>2818162</v>
      </c>
      <c r="N24">
        <v>604.45000000000005</v>
      </c>
      <c r="O24">
        <v>54738</v>
      </c>
      <c r="P24">
        <v>734</v>
      </c>
      <c r="Q24">
        <v>283</v>
      </c>
      <c r="R24" t="s">
        <v>1992</v>
      </c>
      <c r="S24" t="s">
        <v>1993</v>
      </c>
      <c r="T24" t="s">
        <v>1994</v>
      </c>
      <c r="U24" t="s">
        <v>1995</v>
      </c>
    </row>
    <row r="25" spans="1:21">
      <c r="A25" t="s">
        <v>2504</v>
      </c>
      <c r="B25" t="s">
        <v>2505</v>
      </c>
      <c r="C25" t="s">
        <v>2506</v>
      </c>
      <c r="D25" t="s">
        <v>2507</v>
      </c>
      <c r="E25" t="s">
        <v>1982</v>
      </c>
      <c r="F25" t="s">
        <v>204</v>
      </c>
      <c r="G25" t="s">
        <v>1991</v>
      </c>
      <c r="H25">
        <v>5328</v>
      </c>
      <c r="I25">
        <v>99</v>
      </c>
      <c r="J25">
        <v>158</v>
      </c>
      <c r="K25">
        <v>7</v>
      </c>
      <c r="L25">
        <v>805219348</v>
      </c>
      <c r="M25">
        <v>980575</v>
      </c>
      <c r="N25">
        <v>821.17</v>
      </c>
      <c r="O25">
        <v>353518</v>
      </c>
      <c r="P25">
        <v>3227</v>
      </c>
      <c r="Q25">
        <v>281</v>
      </c>
      <c r="R25" t="s">
        <v>1992</v>
      </c>
      <c r="S25" t="s">
        <v>1993</v>
      </c>
      <c r="T25" t="s">
        <v>1994</v>
      </c>
      <c r="U25" t="s">
        <v>1995</v>
      </c>
    </row>
    <row r="26" spans="1:21">
      <c r="A26" t="s">
        <v>3430</v>
      </c>
      <c r="B26" t="s">
        <v>3431</v>
      </c>
      <c r="C26" t="s">
        <v>3432</v>
      </c>
      <c r="D26" t="s">
        <v>3433</v>
      </c>
      <c r="E26" t="s">
        <v>1982</v>
      </c>
      <c r="F26" t="s">
        <v>204</v>
      </c>
      <c r="G26" t="s">
        <v>1991</v>
      </c>
      <c r="H26">
        <v>4563</v>
      </c>
      <c r="I26">
        <v>397</v>
      </c>
      <c r="J26">
        <v>629</v>
      </c>
      <c r="K26">
        <v>3</v>
      </c>
      <c r="L26">
        <v>3534505963</v>
      </c>
      <c r="M26">
        <v>6427075</v>
      </c>
      <c r="N26">
        <v>549.94000000000005</v>
      </c>
      <c r="O26">
        <v>64589</v>
      </c>
      <c r="P26">
        <v>730</v>
      </c>
      <c r="Q26">
        <v>243</v>
      </c>
      <c r="R26" t="s">
        <v>1992</v>
      </c>
      <c r="S26" t="s">
        <v>1993</v>
      </c>
      <c r="T26" t="s">
        <v>1994</v>
      </c>
      <c r="U26" t="s">
        <v>1995</v>
      </c>
    </row>
    <row r="27" spans="1:21">
      <c r="A27" t="s">
        <v>2334</v>
      </c>
      <c r="B27" t="s">
        <v>2335</v>
      </c>
      <c r="C27" t="s">
        <v>195</v>
      </c>
      <c r="D27" t="s">
        <v>2336</v>
      </c>
      <c r="E27" t="s">
        <v>1982</v>
      </c>
      <c r="F27" t="s">
        <v>204</v>
      </c>
      <c r="G27" t="s">
        <v>1991</v>
      </c>
      <c r="H27">
        <v>2889</v>
      </c>
      <c r="I27">
        <v>1272</v>
      </c>
      <c r="J27">
        <v>1430</v>
      </c>
      <c r="K27">
        <v>1</v>
      </c>
      <c r="L27">
        <v>1739708260</v>
      </c>
      <c r="M27">
        <v>2990580</v>
      </c>
      <c r="N27">
        <v>581.73</v>
      </c>
      <c r="O27">
        <v>59150</v>
      </c>
      <c r="P27">
        <v>808</v>
      </c>
      <c r="Q27">
        <v>254</v>
      </c>
      <c r="R27" t="s">
        <v>1992</v>
      </c>
      <c r="S27" t="s">
        <v>1993</v>
      </c>
      <c r="T27" t="s">
        <v>1994</v>
      </c>
      <c r="U27" t="s">
        <v>1995</v>
      </c>
    </row>
    <row r="28" spans="1:21">
      <c r="A28" t="s">
        <v>2877</v>
      </c>
      <c r="B28" t="s">
        <v>2878</v>
      </c>
      <c r="C28" t="s">
        <v>2879</v>
      </c>
      <c r="D28" t="s">
        <v>2880</v>
      </c>
      <c r="E28" t="s">
        <v>1982</v>
      </c>
      <c r="F28" t="s">
        <v>204</v>
      </c>
      <c r="G28" t="s">
        <v>1991</v>
      </c>
      <c r="H28">
        <v>2068</v>
      </c>
      <c r="I28">
        <v>2655</v>
      </c>
      <c r="J28">
        <v>869</v>
      </c>
      <c r="K28">
        <v>0</v>
      </c>
      <c r="L28">
        <v>3198549312</v>
      </c>
      <c r="M28">
        <v>4494700</v>
      </c>
      <c r="N28">
        <v>711.63</v>
      </c>
      <c r="O28">
        <v>56270</v>
      </c>
      <c r="P28">
        <v>967</v>
      </c>
      <c r="Q28">
        <v>315</v>
      </c>
      <c r="R28" t="s">
        <v>1992</v>
      </c>
      <c r="S28" t="s">
        <v>1993</v>
      </c>
      <c r="T28" t="s">
        <v>1994</v>
      </c>
      <c r="U28" t="s">
        <v>2284</v>
      </c>
    </row>
    <row r="29" spans="1:21">
      <c r="A29" t="s">
        <v>3002</v>
      </c>
      <c r="B29" t="s">
        <v>3003</v>
      </c>
      <c r="C29" t="s">
        <v>3004</v>
      </c>
      <c r="D29" t="s">
        <v>3005</v>
      </c>
      <c r="E29" t="s">
        <v>31</v>
      </c>
      <c r="F29" t="s">
        <v>204</v>
      </c>
      <c r="G29" t="s">
        <v>1991</v>
      </c>
      <c r="H29">
        <v>5353</v>
      </c>
      <c r="I29">
        <v>103</v>
      </c>
      <c r="J29">
        <v>130</v>
      </c>
      <c r="K29">
        <v>6</v>
      </c>
      <c r="L29">
        <v>931047239</v>
      </c>
      <c r="M29">
        <v>553159</v>
      </c>
      <c r="N29">
        <v>1683.15</v>
      </c>
      <c r="O29">
        <v>163963</v>
      </c>
      <c r="P29">
        <v>14323</v>
      </c>
      <c r="Q29">
        <v>372</v>
      </c>
      <c r="R29" t="s">
        <v>1992</v>
      </c>
      <c r="S29" t="s">
        <v>1993</v>
      </c>
      <c r="T29" t="s">
        <v>1994</v>
      </c>
      <c r="U29" t="s">
        <v>2636</v>
      </c>
    </row>
    <row r="30" spans="1:21">
      <c r="A30" t="s">
        <v>2732</v>
      </c>
      <c r="B30" t="s">
        <v>2733</v>
      </c>
      <c r="C30" t="s">
        <v>2734</v>
      </c>
      <c r="D30" t="s">
        <v>2735</v>
      </c>
      <c r="E30" t="s">
        <v>1982</v>
      </c>
      <c r="F30" t="s">
        <v>204</v>
      </c>
      <c r="G30" t="s">
        <v>1991</v>
      </c>
      <c r="H30">
        <v>3635</v>
      </c>
      <c r="I30">
        <v>690</v>
      </c>
      <c r="J30">
        <v>1263</v>
      </c>
      <c r="K30">
        <v>4</v>
      </c>
      <c r="L30">
        <v>2939088285</v>
      </c>
      <c r="M30">
        <v>5368963</v>
      </c>
      <c r="N30">
        <v>547.41999999999996</v>
      </c>
      <c r="O30">
        <v>40933</v>
      </c>
      <c r="P30">
        <v>644</v>
      </c>
      <c r="Q30">
        <v>268</v>
      </c>
      <c r="R30" t="s">
        <v>1992</v>
      </c>
      <c r="S30" t="s">
        <v>1993</v>
      </c>
      <c r="T30" t="s">
        <v>1994</v>
      </c>
      <c r="U30" t="s">
        <v>2636</v>
      </c>
    </row>
    <row r="31" spans="1:21">
      <c r="A31" t="s">
        <v>2749</v>
      </c>
      <c r="B31" t="s">
        <v>2750</v>
      </c>
      <c r="C31" t="s">
        <v>2751</v>
      </c>
      <c r="D31" t="s">
        <v>2752</v>
      </c>
      <c r="E31" t="s">
        <v>1987</v>
      </c>
      <c r="F31" t="s">
        <v>204</v>
      </c>
      <c r="G31" t="s">
        <v>1991</v>
      </c>
      <c r="H31">
        <v>5282</v>
      </c>
      <c r="I31">
        <v>102</v>
      </c>
      <c r="J31">
        <v>202</v>
      </c>
      <c r="K31">
        <v>6</v>
      </c>
      <c r="L31">
        <v>1412957751</v>
      </c>
      <c r="M31">
        <v>2804919</v>
      </c>
      <c r="N31">
        <v>503.74</v>
      </c>
      <c r="O31">
        <v>62254</v>
      </c>
      <c r="P31">
        <v>553</v>
      </c>
      <c r="Q31">
        <v>232</v>
      </c>
      <c r="R31" t="s">
        <v>1992</v>
      </c>
      <c r="S31" t="s">
        <v>1993</v>
      </c>
      <c r="T31" t="s">
        <v>1994</v>
      </c>
      <c r="U31" t="s">
        <v>1995</v>
      </c>
    </row>
    <row r="32" spans="1:21">
      <c r="A32" t="s">
        <v>2098</v>
      </c>
      <c r="B32" t="s">
        <v>2099</v>
      </c>
      <c r="C32" t="s">
        <v>2100</v>
      </c>
      <c r="D32" t="s">
        <v>2101</v>
      </c>
      <c r="E32" t="s">
        <v>1982</v>
      </c>
      <c r="F32" t="s">
        <v>204</v>
      </c>
      <c r="G32" t="s">
        <v>1991</v>
      </c>
      <c r="H32">
        <v>2047</v>
      </c>
      <c r="I32">
        <v>2168</v>
      </c>
      <c r="J32">
        <v>1375</v>
      </c>
      <c r="K32">
        <v>2</v>
      </c>
      <c r="L32">
        <v>2312636446</v>
      </c>
      <c r="M32">
        <v>2923345</v>
      </c>
      <c r="N32">
        <v>791.09</v>
      </c>
      <c r="O32">
        <v>56713</v>
      </c>
      <c r="P32">
        <v>1593</v>
      </c>
      <c r="Q32">
        <v>283</v>
      </c>
      <c r="R32" t="s">
        <v>1992</v>
      </c>
      <c r="S32" t="s">
        <v>1993</v>
      </c>
      <c r="T32" t="s">
        <v>1994</v>
      </c>
      <c r="U32" t="s">
        <v>1998</v>
      </c>
    </row>
    <row r="33" spans="1:21">
      <c r="A33" t="s">
        <v>2122</v>
      </c>
      <c r="B33" t="s">
        <v>2123</v>
      </c>
      <c r="C33" t="s">
        <v>2120</v>
      </c>
      <c r="D33" t="s">
        <v>2124</v>
      </c>
      <c r="E33" t="s">
        <v>1982</v>
      </c>
      <c r="F33" t="s">
        <v>204</v>
      </c>
      <c r="G33" t="s">
        <v>1991</v>
      </c>
      <c r="H33">
        <v>4737</v>
      </c>
      <c r="I33">
        <v>321</v>
      </c>
      <c r="J33">
        <v>531</v>
      </c>
      <c r="K33">
        <v>3</v>
      </c>
      <c r="L33">
        <v>2526970524</v>
      </c>
      <c r="M33">
        <v>5355222</v>
      </c>
      <c r="N33">
        <v>471.87</v>
      </c>
      <c r="O33">
        <v>47799</v>
      </c>
      <c r="P33">
        <v>487</v>
      </c>
      <c r="Q33">
        <v>247</v>
      </c>
      <c r="R33" t="s">
        <v>1992</v>
      </c>
      <c r="S33" t="s">
        <v>1993</v>
      </c>
      <c r="T33" t="s">
        <v>1994</v>
      </c>
      <c r="U33" t="s">
        <v>1998</v>
      </c>
    </row>
    <row r="34" spans="1:21">
      <c r="A34" t="s">
        <v>2958</v>
      </c>
      <c r="B34" t="s">
        <v>2959</v>
      </c>
      <c r="C34" t="s">
        <v>2960</v>
      </c>
      <c r="D34" t="s">
        <v>2961</v>
      </c>
      <c r="E34" t="s">
        <v>1982</v>
      </c>
      <c r="F34" t="s">
        <v>204</v>
      </c>
      <c r="G34" t="s">
        <v>1991</v>
      </c>
      <c r="H34">
        <v>5237</v>
      </c>
      <c r="I34">
        <v>130</v>
      </c>
      <c r="J34">
        <v>223</v>
      </c>
      <c r="K34">
        <v>2</v>
      </c>
      <c r="L34">
        <v>1822924625</v>
      </c>
      <c r="M34">
        <v>3754807</v>
      </c>
      <c r="N34">
        <v>485.49</v>
      </c>
      <c r="O34">
        <v>119741</v>
      </c>
      <c r="P34">
        <v>502</v>
      </c>
      <c r="Q34">
        <v>235</v>
      </c>
      <c r="R34" t="s">
        <v>1992</v>
      </c>
      <c r="S34" t="s">
        <v>1993</v>
      </c>
      <c r="T34" t="s">
        <v>1994</v>
      </c>
      <c r="U34" t="s">
        <v>2011</v>
      </c>
    </row>
    <row r="35" spans="1:21">
      <c r="A35" t="s">
        <v>2954</v>
      </c>
      <c r="B35" t="s">
        <v>2955</v>
      </c>
      <c r="C35" t="s">
        <v>2956</v>
      </c>
      <c r="D35" t="s">
        <v>2957</v>
      </c>
      <c r="E35" t="s">
        <v>1982</v>
      </c>
      <c r="F35" t="s">
        <v>204</v>
      </c>
      <c r="G35" t="s">
        <v>1991</v>
      </c>
      <c r="H35">
        <v>5232</v>
      </c>
      <c r="I35">
        <v>115</v>
      </c>
      <c r="J35">
        <v>244</v>
      </c>
      <c r="K35">
        <v>1</v>
      </c>
      <c r="L35">
        <v>2133068081</v>
      </c>
      <c r="M35">
        <v>4749292</v>
      </c>
      <c r="N35">
        <v>449.13</v>
      </c>
      <c r="O35">
        <v>111296</v>
      </c>
      <c r="P35">
        <v>435</v>
      </c>
      <c r="Q35">
        <v>230</v>
      </c>
      <c r="R35" t="s">
        <v>1992</v>
      </c>
      <c r="S35" t="s">
        <v>1993</v>
      </c>
      <c r="T35" t="s">
        <v>1994</v>
      </c>
      <c r="U35" t="s">
        <v>2011</v>
      </c>
    </row>
    <row r="36" spans="1:21">
      <c r="A36" t="s">
        <v>2962</v>
      </c>
      <c r="B36" t="s">
        <v>2963</v>
      </c>
      <c r="C36" t="s">
        <v>2964</v>
      </c>
      <c r="D36" t="s">
        <v>2965</v>
      </c>
      <c r="E36" t="s">
        <v>1982</v>
      </c>
      <c r="F36" t="s">
        <v>204</v>
      </c>
      <c r="G36" t="s">
        <v>1991</v>
      </c>
      <c r="H36">
        <v>5273</v>
      </c>
      <c r="I36">
        <v>97</v>
      </c>
      <c r="J36">
        <v>221</v>
      </c>
      <c r="K36">
        <v>1</v>
      </c>
      <c r="L36">
        <v>1406374467</v>
      </c>
      <c r="M36">
        <v>2717624</v>
      </c>
      <c r="N36">
        <v>517.5</v>
      </c>
      <c r="O36">
        <v>112194</v>
      </c>
      <c r="P36">
        <v>562</v>
      </c>
      <c r="Q36">
        <v>241</v>
      </c>
      <c r="R36" t="s">
        <v>1992</v>
      </c>
      <c r="S36" t="s">
        <v>1993</v>
      </c>
      <c r="T36" t="s">
        <v>1994</v>
      </c>
      <c r="U36" t="s">
        <v>2011</v>
      </c>
    </row>
    <row r="37" spans="1:21">
      <c r="A37" t="s">
        <v>3335</v>
      </c>
      <c r="B37" t="s">
        <v>3336</v>
      </c>
      <c r="C37" t="s">
        <v>3337</v>
      </c>
      <c r="D37" t="s">
        <v>3338</v>
      </c>
      <c r="E37" t="s">
        <v>1982</v>
      </c>
      <c r="F37" t="s">
        <v>204</v>
      </c>
      <c r="G37" t="s">
        <v>1991</v>
      </c>
      <c r="H37">
        <v>2348</v>
      </c>
      <c r="I37">
        <v>1514</v>
      </c>
      <c r="J37">
        <v>1727</v>
      </c>
      <c r="K37">
        <v>3</v>
      </c>
      <c r="L37">
        <v>2133420792</v>
      </c>
      <c r="M37">
        <v>3387206</v>
      </c>
      <c r="N37">
        <v>629.85</v>
      </c>
      <c r="O37">
        <v>52621</v>
      </c>
      <c r="P37">
        <v>955</v>
      </c>
      <c r="Q37">
        <v>267</v>
      </c>
      <c r="R37" t="s">
        <v>1992</v>
      </c>
      <c r="S37" t="s">
        <v>1993</v>
      </c>
      <c r="T37" t="s">
        <v>1994</v>
      </c>
      <c r="U37" t="s">
        <v>2289</v>
      </c>
    </row>
    <row r="38" spans="1:21">
      <c r="A38" t="s">
        <v>2163</v>
      </c>
      <c r="B38" t="s">
        <v>2164</v>
      </c>
      <c r="C38" t="s">
        <v>2165</v>
      </c>
      <c r="D38" t="s">
        <v>2166</v>
      </c>
      <c r="E38" t="s">
        <v>1982</v>
      </c>
      <c r="F38" t="s">
        <v>204</v>
      </c>
      <c r="G38" t="s">
        <v>1991</v>
      </c>
      <c r="H38">
        <v>1665</v>
      </c>
      <c r="I38">
        <v>2492</v>
      </c>
      <c r="J38">
        <v>1434</v>
      </c>
      <c r="K38">
        <v>1</v>
      </c>
      <c r="L38">
        <v>2189077211</v>
      </c>
      <c r="M38">
        <v>3749489</v>
      </c>
      <c r="N38">
        <v>583.83000000000004</v>
      </c>
      <c r="O38">
        <v>105405</v>
      </c>
      <c r="P38">
        <v>770</v>
      </c>
      <c r="Q38">
        <v>257</v>
      </c>
      <c r="R38" t="s">
        <v>1992</v>
      </c>
      <c r="S38" t="s">
        <v>1993</v>
      </c>
      <c r="T38" t="s">
        <v>1994</v>
      </c>
      <c r="U38" t="s">
        <v>1998</v>
      </c>
    </row>
    <row r="39" spans="1:21">
      <c r="A39" t="s">
        <v>2235</v>
      </c>
      <c r="B39" t="s">
        <v>2236</v>
      </c>
      <c r="C39" t="s">
        <v>2237</v>
      </c>
      <c r="D39" t="s">
        <v>2238</v>
      </c>
      <c r="E39" t="s">
        <v>1982</v>
      </c>
      <c r="F39" t="s">
        <v>204</v>
      </c>
      <c r="G39" t="s">
        <v>1991</v>
      </c>
      <c r="H39">
        <v>4930</v>
      </c>
      <c r="I39">
        <v>277</v>
      </c>
      <c r="J39">
        <v>378</v>
      </c>
      <c r="K39">
        <v>7</v>
      </c>
      <c r="L39">
        <v>1235733039</v>
      </c>
      <c r="M39">
        <v>2641897</v>
      </c>
      <c r="N39">
        <v>467.74</v>
      </c>
      <c r="O39">
        <v>61110</v>
      </c>
      <c r="P39">
        <v>462</v>
      </c>
      <c r="Q39">
        <v>229</v>
      </c>
      <c r="R39" t="s">
        <v>1992</v>
      </c>
      <c r="S39" t="s">
        <v>1993</v>
      </c>
      <c r="T39" t="s">
        <v>1994</v>
      </c>
      <c r="U39" t="s">
        <v>1998</v>
      </c>
    </row>
    <row r="40" spans="1:21">
      <c r="A40" t="s">
        <v>2125</v>
      </c>
      <c r="B40" t="s">
        <v>2126</v>
      </c>
      <c r="C40" t="s">
        <v>2127</v>
      </c>
      <c r="D40" t="s">
        <v>2128</v>
      </c>
      <c r="E40" t="s">
        <v>1982</v>
      </c>
      <c r="F40" t="s">
        <v>204</v>
      </c>
      <c r="G40" t="s">
        <v>1991</v>
      </c>
      <c r="H40">
        <v>4924</v>
      </c>
      <c r="I40">
        <v>218</v>
      </c>
      <c r="J40">
        <v>447</v>
      </c>
      <c r="K40">
        <v>3</v>
      </c>
      <c r="L40">
        <v>1643130545</v>
      </c>
      <c r="M40">
        <v>3033863</v>
      </c>
      <c r="N40">
        <v>541.6</v>
      </c>
      <c r="O40">
        <v>46013</v>
      </c>
      <c r="P40">
        <v>607</v>
      </c>
      <c r="Q40">
        <v>265</v>
      </c>
      <c r="R40" t="s">
        <v>1992</v>
      </c>
      <c r="S40" t="s">
        <v>1993</v>
      </c>
      <c r="T40" t="s">
        <v>1994</v>
      </c>
      <c r="U40" t="s">
        <v>1998</v>
      </c>
    </row>
    <row r="41" spans="1:21">
      <c r="A41" t="s">
        <v>2981</v>
      </c>
      <c r="B41" t="s">
        <v>2982</v>
      </c>
      <c r="C41" t="s">
        <v>2983</v>
      </c>
      <c r="D41" t="s">
        <v>2984</v>
      </c>
      <c r="E41" t="s">
        <v>1987</v>
      </c>
      <c r="F41" t="s">
        <v>204</v>
      </c>
      <c r="G41" t="s">
        <v>1991</v>
      </c>
      <c r="H41">
        <v>5398</v>
      </c>
      <c r="I41">
        <v>63</v>
      </c>
      <c r="J41">
        <v>125</v>
      </c>
      <c r="K41">
        <v>6</v>
      </c>
      <c r="L41">
        <v>748206917</v>
      </c>
      <c r="M41">
        <v>675474</v>
      </c>
      <c r="N41">
        <v>1107.68</v>
      </c>
      <c r="O41">
        <v>136161</v>
      </c>
      <c r="P41">
        <v>6894</v>
      </c>
      <c r="Q41">
        <v>283</v>
      </c>
      <c r="R41" t="s">
        <v>1992</v>
      </c>
      <c r="S41" t="s">
        <v>1993</v>
      </c>
      <c r="T41" t="s">
        <v>1994</v>
      </c>
      <c r="U41" t="s">
        <v>31</v>
      </c>
    </row>
    <row r="42" spans="1:21">
      <c r="A42" t="s">
        <v>2170</v>
      </c>
      <c r="B42" t="s">
        <v>2171</v>
      </c>
      <c r="C42" t="s">
        <v>2172</v>
      </c>
      <c r="D42" t="s">
        <v>2173</v>
      </c>
      <c r="E42" t="s">
        <v>1982</v>
      </c>
      <c r="F42" t="s">
        <v>204</v>
      </c>
      <c r="G42" t="s">
        <v>1991</v>
      </c>
      <c r="H42">
        <v>3610</v>
      </c>
      <c r="I42">
        <v>750</v>
      </c>
      <c r="J42">
        <v>1229</v>
      </c>
      <c r="K42">
        <v>3</v>
      </c>
      <c r="L42">
        <v>1900613734</v>
      </c>
      <c r="M42">
        <v>3308464</v>
      </c>
      <c r="N42">
        <v>574.47</v>
      </c>
      <c r="O42">
        <v>67806</v>
      </c>
      <c r="P42">
        <v>714</v>
      </c>
      <c r="Q42">
        <v>276</v>
      </c>
      <c r="R42" t="s">
        <v>1992</v>
      </c>
      <c r="S42" t="s">
        <v>1993</v>
      </c>
      <c r="T42" t="s">
        <v>1994</v>
      </c>
      <c r="U42" t="s">
        <v>1998</v>
      </c>
    </row>
    <row r="43" spans="1:21">
      <c r="A43" t="s">
        <v>2102</v>
      </c>
      <c r="B43" t="s">
        <v>2103</v>
      </c>
      <c r="C43" t="s">
        <v>2100</v>
      </c>
      <c r="D43" t="s">
        <v>2104</v>
      </c>
      <c r="E43" t="s">
        <v>1982</v>
      </c>
      <c r="F43" t="s">
        <v>204</v>
      </c>
      <c r="G43" t="s">
        <v>1991</v>
      </c>
      <c r="H43">
        <v>2481</v>
      </c>
      <c r="I43">
        <v>1708</v>
      </c>
      <c r="J43">
        <v>1401</v>
      </c>
      <c r="K43">
        <v>2</v>
      </c>
      <c r="L43">
        <v>2213889624</v>
      </c>
      <c r="M43">
        <v>2815417</v>
      </c>
      <c r="N43">
        <v>786.35</v>
      </c>
      <c r="O43">
        <v>44893</v>
      </c>
      <c r="P43">
        <v>1412</v>
      </c>
      <c r="Q43">
        <v>302</v>
      </c>
      <c r="R43" t="s">
        <v>1992</v>
      </c>
      <c r="S43" t="s">
        <v>1993</v>
      </c>
      <c r="T43" t="s">
        <v>1994</v>
      </c>
      <c r="U43" t="s">
        <v>1998</v>
      </c>
    </row>
    <row r="44" spans="1:21">
      <c r="A44" t="s">
        <v>2118</v>
      </c>
      <c r="B44" t="s">
        <v>2119</v>
      </c>
      <c r="C44" t="s">
        <v>2120</v>
      </c>
      <c r="D44" t="s">
        <v>2121</v>
      </c>
      <c r="E44" t="s">
        <v>1982</v>
      </c>
      <c r="F44" t="s">
        <v>204</v>
      </c>
      <c r="G44" t="s">
        <v>1991</v>
      </c>
      <c r="H44">
        <v>4825</v>
      </c>
      <c r="I44">
        <v>265</v>
      </c>
      <c r="J44">
        <v>498</v>
      </c>
      <c r="K44">
        <v>4</v>
      </c>
      <c r="L44">
        <v>2139213288</v>
      </c>
      <c r="M44">
        <v>4230830</v>
      </c>
      <c r="N44">
        <v>505.62</v>
      </c>
      <c r="O44">
        <v>46235</v>
      </c>
      <c r="P44">
        <v>540</v>
      </c>
      <c r="Q44">
        <v>267</v>
      </c>
      <c r="R44" t="s">
        <v>1992</v>
      </c>
      <c r="S44" t="s">
        <v>1993</v>
      </c>
      <c r="T44" t="s">
        <v>1994</v>
      </c>
      <c r="U44" t="s">
        <v>1998</v>
      </c>
    </row>
    <row r="45" spans="1:21">
      <c r="A45" t="s">
        <v>2129</v>
      </c>
      <c r="B45" t="s">
        <v>2130</v>
      </c>
      <c r="C45" t="s">
        <v>2127</v>
      </c>
      <c r="D45" t="s">
        <v>2131</v>
      </c>
      <c r="E45" t="s">
        <v>1982</v>
      </c>
      <c r="F45" t="s">
        <v>204</v>
      </c>
      <c r="G45" t="s">
        <v>1991</v>
      </c>
      <c r="H45">
        <v>4850</v>
      </c>
      <c r="I45">
        <v>160</v>
      </c>
      <c r="J45">
        <v>579</v>
      </c>
      <c r="K45">
        <v>3</v>
      </c>
      <c r="L45">
        <v>1275646425</v>
      </c>
      <c r="M45">
        <v>2121713</v>
      </c>
      <c r="N45">
        <v>601.23</v>
      </c>
      <c r="O45">
        <v>49124</v>
      </c>
      <c r="P45">
        <v>692</v>
      </c>
      <c r="Q45">
        <v>283</v>
      </c>
      <c r="R45" t="s">
        <v>1992</v>
      </c>
      <c r="S45" t="s">
        <v>1993</v>
      </c>
      <c r="T45" t="s">
        <v>1994</v>
      </c>
      <c r="U45" t="s">
        <v>1998</v>
      </c>
    </row>
    <row r="46" spans="1:21">
      <c r="A46" t="s">
        <v>2290</v>
      </c>
      <c r="B46" t="s">
        <v>2291</v>
      </c>
      <c r="C46" t="s">
        <v>2292</v>
      </c>
      <c r="D46" t="s">
        <v>2293</v>
      </c>
      <c r="E46" t="s">
        <v>1987</v>
      </c>
      <c r="F46" t="s">
        <v>204</v>
      </c>
      <c r="G46" t="s">
        <v>1991</v>
      </c>
      <c r="H46">
        <v>699</v>
      </c>
      <c r="I46">
        <v>4214</v>
      </c>
      <c r="J46">
        <v>674</v>
      </c>
      <c r="K46">
        <v>5</v>
      </c>
      <c r="L46">
        <v>1432855396</v>
      </c>
      <c r="M46">
        <v>1725600</v>
      </c>
      <c r="N46">
        <v>830.35</v>
      </c>
      <c r="O46">
        <v>110202</v>
      </c>
      <c r="P46">
        <v>2091</v>
      </c>
      <c r="Q46">
        <v>283</v>
      </c>
      <c r="R46" t="s">
        <v>1992</v>
      </c>
      <c r="S46" t="s">
        <v>1993</v>
      </c>
      <c r="T46" t="s">
        <v>1994</v>
      </c>
      <c r="U46" t="s">
        <v>2294</v>
      </c>
    </row>
    <row r="47" spans="1:21">
      <c r="A47" t="s">
        <v>2456</v>
      </c>
      <c r="B47" t="s">
        <v>2457</v>
      </c>
      <c r="C47" t="s">
        <v>2458</v>
      </c>
      <c r="D47" t="s">
        <v>2459</v>
      </c>
      <c r="E47" t="s">
        <v>1982</v>
      </c>
      <c r="F47" t="s">
        <v>204</v>
      </c>
      <c r="G47" t="s">
        <v>1991</v>
      </c>
      <c r="H47">
        <v>2739</v>
      </c>
      <c r="I47">
        <v>1552</v>
      </c>
      <c r="J47">
        <v>1299</v>
      </c>
      <c r="K47">
        <v>2</v>
      </c>
      <c r="L47">
        <v>1291010531</v>
      </c>
      <c r="M47">
        <v>1956336</v>
      </c>
      <c r="N47">
        <v>659.91</v>
      </c>
      <c r="O47">
        <v>34164</v>
      </c>
      <c r="P47">
        <v>1088</v>
      </c>
      <c r="Q47">
        <v>279</v>
      </c>
      <c r="R47" t="s">
        <v>1992</v>
      </c>
      <c r="S47" t="s">
        <v>1993</v>
      </c>
      <c r="T47" t="s">
        <v>1994</v>
      </c>
      <c r="U47" t="s">
        <v>1995</v>
      </c>
    </row>
    <row r="48" spans="1:21">
      <c r="A48" t="s">
        <v>2422</v>
      </c>
      <c r="B48" t="s">
        <v>2423</v>
      </c>
      <c r="C48" t="s">
        <v>2424</v>
      </c>
      <c r="D48" t="s">
        <v>2425</v>
      </c>
      <c r="E48" t="s">
        <v>1982</v>
      </c>
      <c r="F48" t="s">
        <v>204</v>
      </c>
      <c r="G48" t="s">
        <v>1991</v>
      </c>
      <c r="H48">
        <v>4486</v>
      </c>
      <c r="I48">
        <v>461</v>
      </c>
      <c r="J48">
        <v>641</v>
      </c>
      <c r="K48">
        <v>4</v>
      </c>
      <c r="L48">
        <v>1741185690</v>
      </c>
      <c r="M48">
        <v>3290664</v>
      </c>
      <c r="N48">
        <v>529.13</v>
      </c>
      <c r="O48">
        <v>59675</v>
      </c>
      <c r="P48">
        <v>606</v>
      </c>
      <c r="Q48">
        <v>252</v>
      </c>
      <c r="R48" t="s">
        <v>1992</v>
      </c>
      <c r="S48" t="s">
        <v>1993</v>
      </c>
      <c r="T48" t="s">
        <v>1994</v>
      </c>
      <c r="U48" t="s">
        <v>2010</v>
      </c>
    </row>
    <row r="49" spans="1:21">
      <c r="A49" t="s">
        <v>2527</v>
      </c>
      <c r="B49" t="s">
        <v>2528</v>
      </c>
      <c r="C49" t="s">
        <v>2529</v>
      </c>
      <c r="D49" t="s">
        <v>2530</v>
      </c>
      <c r="E49" t="s">
        <v>1982</v>
      </c>
      <c r="F49" t="s">
        <v>204</v>
      </c>
      <c r="G49" t="s">
        <v>1991</v>
      </c>
      <c r="H49">
        <v>1515</v>
      </c>
      <c r="I49">
        <v>3319</v>
      </c>
      <c r="J49">
        <v>757</v>
      </c>
      <c r="K49">
        <v>1</v>
      </c>
      <c r="L49">
        <v>1667109263</v>
      </c>
      <c r="M49">
        <v>2123559</v>
      </c>
      <c r="N49">
        <v>785.05</v>
      </c>
      <c r="O49">
        <v>78466</v>
      </c>
      <c r="P49">
        <v>1682</v>
      </c>
      <c r="Q49">
        <v>283</v>
      </c>
      <c r="R49" t="s">
        <v>1992</v>
      </c>
      <c r="S49" t="s">
        <v>1993</v>
      </c>
      <c r="T49" t="s">
        <v>1994</v>
      </c>
      <c r="U49" t="s">
        <v>1995</v>
      </c>
    </row>
    <row r="50" spans="1:21">
      <c r="A50" t="s">
        <v>2462</v>
      </c>
      <c r="B50" t="s">
        <v>2463</v>
      </c>
      <c r="C50" t="s">
        <v>2464</v>
      </c>
      <c r="D50" t="s">
        <v>2465</v>
      </c>
      <c r="E50" t="s">
        <v>1982</v>
      </c>
      <c r="F50" t="s">
        <v>204</v>
      </c>
      <c r="G50" t="s">
        <v>1991</v>
      </c>
      <c r="H50">
        <v>1946</v>
      </c>
      <c r="I50">
        <v>2553</v>
      </c>
      <c r="J50">
        <v>1090</v>
      </c>
      <c r="K50">
        <v>3</v>
      </c>
      <c r="L50">
        <v>3707300521</v>
      </c>
      <c r="M50">
        <v>7421302</v>
      </c>
      <c r="N50">
        <v>499.55</v>
      </c>
      <c r="O50">
        <v>78096</v>
      </c>
      <c r="P50">
        <v>556</v>
      </c>
      <c r="Q50">
        <v>244</v>
      </c>
      <c r="R50" t="s">
        <v>1992</v>
      </c>
      <c r="S50" t="s">
        <v>1993</v>
      </c>
      <c r="T50" t="s">
        <v>1994</v>
      </c>
      <c r="U50" t="s">
        <v>1995</v>
      </c>
    </row>
    <row r="51" spans="1:21">
      <c r="A51" t="s">
        <v>2553</v>
      </c>
      <c r="B51" t="s">
        <v>2554</v>
      </c>
      <c r="C51" t="s">
        <v>2551</v>
      </c>
      <c r="D51" t="s">
        <v>2555</v>
      </c>
      <c r="E51" t="s">
        <v>1982</v>
      </c>
      <c r="F51" t="s">
        <v>204</v>
      </c>
      <c r="G51" t="s">
        <v>1991</v>
      </c>
      <c r="H51">
        <v>4183</v>
      </c>
      <c r="I51">
        <v>619</v>
      </c>
      <c r="J51">
        <v>784</v>
      </c>
      <c r="K51">
        <v>6</v>
      </c>
      <c r="L51">
        <v>1831482396</v>
      </c>
      <c r="M51">
        <v>3514841</v>
      </c>
      <c r="N51">
        <v>521.07000000000005</v>
      </c>
      <c r="O51">
        <v>44865</v>
      </c>
      <c r="P51">
        <v>580</v>
      </c>
      <c r="Q51">
        <v>257</v>
      </c>
      <c r="R51" t="s">
        <v>1992</v>
      </c>
      <c r="S51" t="s">
        <v>1993</v>
      </c>
      <c r="T51" t="s">
        <v>1994</v>
      </c>
      <c r="U51" t="s">
        <v>1998</v>
      </c>
    </row>
    <row r="52" spans="1:21">
      <c r="A52" t="s">
        <v>2559</v>
      </c>
      <c r="B52" t="s">
        <v>2560</v>
      </c>
      <c r="C52" t="s">
        <v>2561</v>
      </c>
      <c r="D52" t="s">
        <v>2562</v>
      </c>
      <c r="E52" t="s">
        <v>1982</v>
      </c>
      <c r="F52" t="s">
        <v>204</v>
      </c>
      <c r="G52" t="s">
        <v>1991</v>
      </c>
      <c r="H52">
        <v>5034</v>
      </c>
      <c r="I52">
        <v>258</v>
      </c>
      <c r="J52">
        <v>293</v>
      </c>
      <c r="K52">
        <v>7</v>
      </c>
      <c r="L52">
        <v>1688050810</v>
      </c>
      <c r="M52">
        <v>3870658</v>
      </c>
      <c r="N52">
        <v>436.11</v>
      </c>
      <c r="O52">
        <v>65649</v>
      </c>
      <c r="P52">
        <v>384</v>
      </c>
      <c r="Q52">
        <v>223</v>
      </c>
      <c r="R52" t="s">
        <v>1992</v>
      </c>
      <c r="S52" t="s">
        <v>1993</v>
      </c>
      <c r="T52" t="s">
        <v>1994</v>
      </c>
      <c r="U52" t="s">
        <v>1998</v>
      </c>
    </row>
    <row r="53" spans="1:21">
      <c r="A53" t="s">
        <v>2609</v>
      </c>
      <c r="B53" t="s">
        <v>2610</v>
      </c>
      <c r="C53" t="s">
        <v>2607</v>
      </c>
      <c r="D53" t="s">
        <v>2611</v>
      </c>
      <c r="E53" t="s">
        <v>1982</v>
      </c>
      <c r="F53" t="s">
        <v>204</v>
      </c>
      <c r="G53" t="s">
        <v>1991</v>
      </c>
      <c r="H53">
        <v>3316</v>
      </c>
      <c r="I53">
        <v>354</v>
      </c>
      <c r="J53">
        <v>1913</v>
      </c>
      <c r="K53">
        <v>9</v>
      </c>
      <c r="L53">
        <v>3865844220</v>
      </c>
      <c r="M53">
        <v>6431240</v>
      </c>
      <c r="N53">
        <v>601.1</v>
      </c>
      <c r="O53">
        <v>71139</v>
      </c>
      <c r="P53">
        <v>697</v>
      </c>
      <c r="Q53">
        <v>316</v>
      </c>
      <c r="R53" t="s">
        <v>1992</v>
      </c>
      <c r="S53" t="s">
        <v>1993</v>
      </c>
      <c r="T53" t="s">
        <v>1994</v>
      </c>
      <c r="U53" t="s">
        <v>31</v>
      </c>
    </row>
    <row r="54" spans="1:21">
      <c r="A54" t="s">
        <v>2722</v>
      </c>
      <c r="B54" t="s">
        <v>2723</v>
      </c>
      <c r="C54" t="s">
        <v>2724</v>
      </c>
      <c r="D54" t="s">
        <v>2725</v>
      </c>
      <c r="E54" t="s">
        <v>1982</v>
      </c>
      <c r="F54" t="s">
        <v>204</v>
      </c>
      <c r="G54" t="s">
        <v>1991</v>
      </c>
      <c r="H54">
        <v>5284</v>
      </c>
      <c r="I54">
        <v>87</v>
      </c>
      <c r="J54">
        <v>209</v>
      </c>
      <c r="K54">
        <v>12</v>
      </c>
      <c r="L54">
        <v>1158525688</v>
      </c>
      <c r="M54">
        <v>1597234</v>
      </c>
      <c r="N54">
        <v>725.33</v>
      </c>
      <c r="O54">
        <v>102238</v>
      </c>
      <c r="P54">
        <v>2133</v>
      </c>
      <c r="Q54">
        <v>254</v>
      </c>
      <c r="R54" t="s">
        <v>1992</v>
      </c>
      <c r="S54" t="s">
        <v>1993</v>
      </c>
      <c r="T54" t="s">
        <v>1994</v>
      </c>
      <c r="U54" t="s">
        <v>2636</v>
      </c>
    </row>
    <row r="55" spans="1:21">
      <c r="A55" t="s">
        <v>2753</v>
      </c>
      <c r="B55" t="s">
        <v>2754</v>
      </c>
      <c r="C55" t="s">
        <v>2751</v>
      </c>
      <c r="D55" t="s">
        <v>2755</v>
      </c>
      <c r="E55" t="s">
        <v>1987</v>
      </c>
      <c r="F55" t="s">
        <v>204</v>
      </c>
      <c r="G55" t="s">
        <v>1991</v>
      </c>
      <c r="H55">
        <v>5250</v>
      </c>
      <c r="I55">
        <v>88</v>
      </c>
      <c r="J55">
        <v>248</v>
      </c>
      <c r="K55">
        <v>6</v>
      </c>
      <c r="L55">
        <v>1102969909</v>
      </c>
      <c r="M55">
        <v>1810076</v>
      </c>
      <c r="N55">
        <v>609.35</v>
      </c>
      <c r="O55">
        <v>71469</v>
      </c>
      <c r="P55">
        <v>887</v>
      </c>
      <c r="Q55">
        <v>254</v>
      </c>
      <c r="R55" t="s">
        <v>1992</v>
      </c>
      <c r="S55" t="s">
        <v>1993</v>
      </c>
      <c r="T55" t="s">
        <v>1994</v>
      </c>
      <c r="U55" t="s">
        <v>1995</v>
      </c>
    </row>
    <row r="56" spans="1:21">
      <c r="A56" t="s">
        <v>2821</v>
      </c>
      <c r="B56" t="s">
        <v>2822</v>
      </c>
      <c r="C56" t="s">
        <v>2823</v>
      </c>
      <c r="D56" t="s">
        <v>2824</v>
      </c>
      <c r="E56" t="s">
        <v>1982</v>
      </c>
      <c r="F56" t="s">
        <v>204</v>
      </c>
      <c r="G56" t="s">
        <v>1991</v>
      </c>
      <c r="H56">
        <v>4701</v>
      </c>
      <c r="I56">
        <v>469</v>
      </c>
      <c r="J56">
        <v>420</v>
      </c>
      <c r="K56">
        <v>2</v>
      </c>
      <c r="L56">
        <v>1139350869</v>
      </c>
      <c r="M56">
        <v>1607139</v>
      </c>
      <c r="N56">
        <v>708.93</v>
      </c>
      <c r="O56">
        <v>208398</v>
      </c>
      <c r="P56">
        <v>1629</v>
      </c>
      <c r="Q56">
        <v>263</v>
      </c>
      <c r="R56" t="s">
        <v>1992</v>
      </c>
      <c r="S56" t="s">
        <v>1993</v>
      </c>
      <c r="T56" t="s">
        <v>1994</v>
      </c>
      <c r="U56" t="s">
        <v>1998</v>
      </c>
    </row>
    <row r="57" spans="1:21">
      <c r="A57" t="s">
        <v>2690</v>
      </c>
      <c r="B57" t="s">
        <v>2691</v>
      </c>
      <c r="C57" t="s">
        <v>2692</v>
      </c>
      <c r="D57" t="s">
        <v>2693</v>
      </c>
      <c r="E57" t="s">
        <v>1982</v>
      </c>
      <c r="F57" t="s">
        <v>204</v>
      </c>
      <c r="G57" t="s">
        <v>1991</v>
      </c>
      <c r="H57">
        <v>5220</v>
      </c>
      <c r="I57">
        <v>92</v>
      </c>
      <c r="J57">
        <v>273</v>
      </c>
      <c r="K57">
        <v>7</v>
      </c>
      <c r="L57">
        <v>1231021156</v>
      </c>
      <c r="M57">
        <v>1995781</v>
      </c>
      <c r="N57">
        <v>616.80999999999995</v>
      </c>
      <c r="O57">
        <v>71041</v>
      </c>
      <c r="P57">
        <v>852</v>
      </c>
      <c r="Q57">
        <v>260</v>
      </c>
      <c r="R57" t="s">
        <v>1992</v>
      </c>
      <c r="S57" t="s">
        <v>1993</v>
      </c>
      <c r="T57" t="s">
        <v>1994</v>
      </c>
      <c r="U57" t="s">
        <v>2289</v>
      </c>
    </row>
    <row r="58" spans="1:21">
      <c r="A58" t="s">
        <v>2907</v>
      </c>
      <c r="B58" t="s">
        <v>2908</v>
      </c>
      <c r="C58" t="s">
        <v>2909</v>
      </c>
      <c r="D58" t="s">
        <v>2910</v>
      </c>
      <c r="E58" t="s">
        <v>1982</v>
      </c>
      <c r="F58" t="s">
        <v>204</v>
      </c>
      <c r="G58" t="s">
        <v>1991</v>
      </c>
      <c r="H58">
        <v>5263</v>
      </c>
      <c r="I58">
        <v>79</v>
      </c>
      <c r="J58">
        <v>246</v>
      </c>
      <c r="K58">
        <v>4</v>
      </c>
      <c r="L58">
        <v>701173537</v>
      </c>
      <c r="M58">
        <v>850608</v>
      </c>
      <c r="N58">
        <v>824.32</v>
      </c>
      <c r="O58">
        <v>82824</v>
      </c>
      <c r="P58">
        <v>3554</v>
      </c>
      <c r="Q58">
        <v>277</v>
      </c>
      <c r="R58" t="s">
        <v>1992</v>
      </c>
      <c r="S58" t="s">
        <v>1993</v>
      </c>
      <c r="T58" t="s">
        <v>1994</v>
      </c>
      <c r="U58" t="s">
        <v>2284</v>
      </c>
    </row>
    <row r="59" spans="1:21">
      <c r="A59" t="s">
        <v>2914</v>
      </c>
      <c r="B59" t="s">
        <v>2915</v>
      </c>
      <c r="C59" t="s">
        <v>2916</v>
      </c>
      <c r="D59" t="s">
        <v>2917</v>
      </c>
      <c r="E59" t="s">
        <v>1982</v>
      </c>
      <c r="F59" t="s">
        <v>204</v>
      </c>
      <c r="G59" t="s">
        <v>1991</v>
      </c>
      <c r="H59">
        <v>5355</v>
      </c>
      <c r="I59">
        <v>87</v>
      </c>
      <c r="J59">
        <v>147</v>
      </c>
      <c r="K59">
        <v>3</v>
      </c>
      <c r="L59">
        <v>1167505869</v>
      </c>
      <c r="M59">
        <v>2272639</v>
      </c>
      <c r="N59">
        <v>513.72</v>
      </c>
      <c r="O59">
        <v>107816</v>
      </c>
      <c r="P59">
        <v>554</v>
      </c>
      <c r="Q59">
        <v>231</v>
      </c>
      <c r="R59" t="s">
        <v>1992</v>
      </c>
      <c r="S59" t="s">
        <v>1993</v>
      </c>
      <c r="T59" t="s">
        <v>1994</v>
      </c>
      <c r="U59" t="s">
        <v>2284</v>
      </c>
    </row>
    <row r="60" spans="1:21">
      <c r="A60" t="s">
        <v>2374</v>
      </c>
      <c r="B60" t="s">
        <v>2374</v>
      </c>
      <c r="C60" t="s">
        <v>2375</v>
      </c>
      <c r="D60" t="s">
        <v>2376</v>
      </c>
      <c r="E60" t="s">
        <v>1982</v>
      </c>
      <c r="F60" t="s">
        <v>204</v>
      </c>
      <c r="G60" t="s">
        <v>1991</v>
      </c>
      <c r="H60">
        <v>2201</v>
      </c>
      <c r="I60">
        <v>2233</v>
      </c>
      <c r="J60">
        <v>1157</v>
      </c>
      <c r="K60">
        <v>1</v>
      </c>
      <c r="L60">
        <v>2217557900</v>
      </c>
      <c r="M60">
        <v>3989146</v>
      </c>
      <c r="N60">
        <v>555.9</v>
      </c>
      <c r="O60">
        <v>56764</v>
      </c>
      <c r="P60">
        <v>825</v>
      </c>
      <c r="Q60">
        <v>237</v>
      </c>
      <c r="R60" t="s">
        <v>1992</v>
      </c>
      <c r="S60" t="s">
        <v>1993</v>
      </c>
      <c r="T60" t="s">
        <v>1994</v>
      </c>
      <c r="U60" t="s">
        <v>1995</v>
      </c>
    </row>
    <row r="61" spans="1:21">
      <c r="A61" t="s">
        <v>2840</v>
      </c>
      <c r="B61" t="s">
        <v>2840</v>
      </c>
      <c r="C61" t="s">
        <v>2841</v>
      </c>
      <c r="D61" t="s">
        <v>2842</v>
      </c>
      <c r="E61" t="s">
        <v>1982</v>
      </c>
      <c r="F61" t="s">
        <v>204</v>
      </c>
      <c r="G61" t="s">
        <v>1991</v>
      </c>
      <c r="H61">
        <v>2805</v>
      </c>
      <c r="I61">
        <v>1480</v>
      </c>
      <c r="J61">
        <v>1302</v>
      </c>
      <c r="K61">
        <v>5</v>
      </c>
      <c r="L61">
        <v>3314389789</v>
      </c>
      <c r="M61">
        <v>5729230</v>
      </c>
      <c r="N61">
        <v>578.51</v>
      </c>
      <c r="O61">
        <v>440843</v>
      </c>
      <c r="P61">
        <v>762</v>
      </c>
      <c r="Q61">
        <v>262</v>
      </c>
      <c r="R61" t="s">
        <v>1992</v>
      </c>
      <c r="S61" t="s">
        <v>1993</v>
      </c>
      <c r="T61" t="s">
        <v>1994</v>
      </c>
      <c r="U61" t="s">
        <v>1998</v>
      </c>
    </row>
    <row r="62" spans="1:21">
      <c r="A62" t="s">
        <v>2596</v>
      </c>
      <c r="B62" t="s">
        <v>2596</v>
      </c>
      <c r="C62" t="s">
        <v>2597</v>
      </c>
      <c r="D62" t="s">
        <v>2598</v>
      </c>
      <c r="E62" t="s">
        <v>1982</v>
      </c>
      <c r="F62" t="s">
        <v>204</v>
      </c>
      <c r="G62" t="s">
        <v>1991</v>
      </c>
      <c r="H62">
        <v>1245</v>
      </c>
      <c r="I62">
        <v>3365</v>
      </c>
      <c r="J62">
        <v>974</v>
      </c>
      <c r="K62">
        <v>8</v>
      </c>
      <c r="L62">
        <v>4639391839</v>
      </c>
      <c r="M62">
        <v>3457788</v>
      </c>
      <c r="N62">
        <v>1341.72</v>
      </c>
      <c r="O62">
        <v>208539</v>
      </c>
      <c r="P62">
        <v>11135</v>
      </c>
      <c r="Q62">
        <v>318</v>
      </c>
      <c r="R62" t="s">
        <v>1992</v>
      </c>
      <c r="S62" t="s">
        <v>1993</v>
      </c>
      <c r="T62" t="s">
        <v>1994</v>
      </c>
      <c r="U62" t="s">
        <v>31</v>
      </c>
    </row>
    <row r="63" spans="1:21">
      <c r="A63" t="s">
        <v>2214</v>
      </c>
      <c r="B63" t="s">
        <v>2214</v>
      </c>
      <c r="C63" t="s">
        <v>2215</v>
      </c>
      <c r="E63" t="s">
        <v>1982</v>
      </c>
      <c r="F63" t="s">
        <v>204</v>
      </c>
      <c r="G63" t="s">
        <v>1991</v>
      </c>
      <c r="H63">
        <v>3175</v>
      </c>
      <c r="I63">
        <v>1024</v>
      </c>
      <c r="J63">
        <v>1391</v>
      </c>
      <c r="K63">
        <v>2</v>
      </c>
      <c r="L63">
        <v>2784542654</v>
      </c>
      <c r="M63">
        <v>5964657</v>
      </c>
      <c r="N63">
        <v>466.84</v>
      </c>
      <c r="O63">
        <v>58709</v>
      </c>
      <c r="P63">
        <v>471</v>
      </c>
      <c r="Q63">
        <v>230</v>
      </c>
      <c r="R63" t="s">
        <v>1992</v>
      </c>
      <c r="S63" t="s">
        <v>1993</v>
      </c>
      <c r="T63" t="s">
        <v>1994</v>
      </c>
      <c r="U63" t="s">
        <v>1998</v>
      </c>
    </row>
    <row r="64" spans="1:21">
      <c r="A64" t="s">
        <v>2152</v>
      </c>
      <c r="B64" t="s">
        <v>2152</v>
      </c>
      <c r="C64" t="s">
        <v>2153</v>
      </c>
      <c r="D64" t="s">
        <v>2154</v>
      </c>
      <c r="E64" t="s">
        <v>1982</v>
      </c>
      <c r="F64" t="s">
        <v>204</v>
      </c>
      <c r="G64" t="s">
        <v>1991</v>
      </c>
      <c r="H64">
        <v>1456</v>
      </c>
      <c r="I64">
        <v>3132</v>
      </c>
      <c r="J64">
        <v>1002</v>
      </c>
      <c r="K64">
        <v>2</v>
      </c>
      <c r="L64">
        <v>5124186397</v>
      </c>
      <c r="M64">
        <v>10727164</v>
      </c>
      <c r="N64">
        <v>477.68</v>
      </c>
      <c r="O64">
        <v>940332</v>
      </c>
      <c r="P64">
        <v>466</v>
      </c>
      <c r="Q64">
        <v>230</v>
      </c>
      <c r="R64" t="s">
        <v>1992</v>
      </c>
      <c r="S64" t="s">
        <v>1993</v>
      </c>
      <c r="T64" t="s">
        <v>1994</v>
      </c>
      <c r="U64" t="s">
        <v>1998</v>
      </c>
    </row>
    <row r="65" spans="1:21">
      <c r="A65" t="s">
        <v>2190</v>
      </c>
      <c r="B65" t="s">
        <v>2190</v>
      </c>
      <c r="C65" t="s">
        <v>2191</v>
      </c>
      <c r="D65" t="s">
        <v>2192</v>
      </c>
      <c r="E65" t="s">
        <v>1982</v>
      </c>
      <c r="F65" t="s">
        <v>204</v>
      </c>
      <c r="G65" t="s">
        <v>1991</v>
      </c>
      <c r="H65">
        <v>2135</v>
      </c>
      <c r="I65">
        <v>886</v>
      </c>
      <c r="J65">
        <v>2570</v>
      </c>
      <c r="K65">
        <v>1</v>
      </c>
      <c r="L65">
        <v>1744735214</v>
      </c>
      <c r="M65">
        <v>2773095</v>
      </c>
      <c r="N65">
        <v>629.16999999999996</v>
      </c>
      <c r="O65">
        <v>48066</v>
      </c>
      <c r="P65">
        <v>725</v>
      </c>
      <c r="Q65">
        <v>339</v>
      </c>
      <c r="R65" t="s">
        <v>1992</v>
      </c>
      <c r="S65" t="s">
        <v>1993</v>
      </c>
      <c r="T65" t="s">
        <v>1994</v>
      </c>
      <c r="U65" t="s">
        <v>1998</v>
      </c>
    </row>
    <row r="66" spans="1:21">
      <c r="A66" t="s">
        <v>2219</v>
      </c>
      <c r="B66" t="s">
        <v>2219</v>
      </c>
      <c r="C66" t="s">
        <v>2220</v>
      </c>
      <c r="D66" t="s">
        <v>2221</v>
      </c>
      <c r="E66" t="s">
        <v>1982</v>
      </c>
      <c r="F66" t="s">
        <v>204</v>
      </c>
      <c r="G66" t="s">
        <v>1991</v>
      </c>
      <c r="H66">
        <v>4540</v>
      </c>
      <c r="I66">
        <v>435</v>
      </c>
      <c r="J66">
        <v>616</v>
      </c>
      <c r="K66">
        <v>1</v>
      </c>
      <c r="L66">
        <v>1879529567</v>
      </c>
      <c r="M66">
        <v>3939908</v>
      </c>
      <c r="N66">
        <v>477.05</v>
      </c>
      <c r="O66">
        <v>48173</v>
      </c>
      <c r="P66">
        <v>495</v>
      </c>
      <c r="Q66">
        <v>233</v>
      </c>
      <c r="R66" t="s">
        <v>1992</v>
      </c>
      <c r="S66" t="s">
        <v>1993</v>
      </c>
      <c r="T66" t="s">
        <v>1994</v>
      </c>
      <c r="U66" t="s">
        <v>1998</v>
      </c>
    </row>
    <row r="67" spans="1:21">
      <c r="A67" t="s">
        <v>2355</v>
      </c>
      <c r="B67" t="s">
        <v>2355</v>
      </c>
      <c r="C67" t="s">
        <v>2356</v>
      </c>
      <c r="D67" t="s">
        <v>2357</v>
      </c>
      <c r="E67" t="s">
        <v>1982</v>
      </c>
      <c r="F67" t="s">
        <v>204</v>
      </c>
      <c r="G67" t="s">
        <v>1991</v>
      </c>
      <c r="H67">
        <v>1666</v>
      </c>
      <c r="I67">
        <v>3009</v>
      </c>
      <c r="J67">
        <v>916</v>
      </c>
      <c r="K67">
        <v>1</v>
      </c>
      <c r="L67">
        <v>1865856041</v>
      </c>
      <c r="M67">
        <v>1537974</v>
      </c>
      <c r="N67">
        <v>1213.19</v>
      </c>
      <c r="O67">
        <v>360352</v>
      </c>
      <c r="P67">
        <v>4036</v>
      </c>
      <c r="Q67">
        <v>349</v>
      </c>
      <c r="R67" t="s">
        <v>1992</v>
      </c>
      <c r="S67" t="s">
        <v>1993</v>
      </c>
      <c r="T67" t="s">
        <v>1994</v>
      </c>
      <c r="U67" t="s">
        <v>1995</v>
      </c>
    </row>
    <row r="68" spans="1:21">
      <c r="A68" t="s">
        <v>2388</v>
      </c>
      <c r="B68" t="s">
        <v>2388</v>
      </c>
      <c r="C68" t="s">
        <v>2389</v>
      </c>
      <c r="D68" t="s">
        <v>2390</v>
      </c>
      <c r="E68" t="s">
        <v>1982</v>
      </c>
      <c r="F68" t="s">
        <v>204</v>
      </c>
      <c r="G68" t="s">
        <v>1991</v>
      </c>
      <c r="H68">
        <v>1673</v>
      </c>
      <c r="I68">
        <v>2921</v>
      </c>
      <c r="J68">
        <v>997</v>
      </c>
      <c r="K68">
        <v>1</v>
      </c>
      <c r="L68">
        <v>3346476833</v>
      </c>
      <c r="M68">
        <v>5242075</v>
      </c>
      <c r="N68">
        <v>638.39</v>
      </c>
      <c r="O68">
        <v>68750</v>
      </c>
      <c r="P68">
        <v>1003</v>
      </c>
      <c r="Q68">
        <v>265</v>
      </c>
      <c r="R68" t="s">
        <v>1992</v>
      </c>
      <c r="S68" t="s">
        <v>1993</v>
      </c>
      <c r="T68" t="s">
        <v>1994</v>
      </c>
      <c r="U68" t="s">
        <v>1995</v>
      </c>
    </row>
    <row r="69" spans="1:21">
      <c r="A69" t="s">
        <v>2386</v>
      </c>
      <c r="B69" t="s">
        <v>2386</v>
      </c>
      <c r="C69" t="s">
        <v>2384</v>
      </c>
      <c r="D69" t="s">
        <v>2387</v>
      </c>
      <c r="E69" t="s">
        <v>1982</v>
      </c>
      <c r="F69" t="s">
        <v>204</v>
      </c>
      <c r="G69" t="s">
        <v>1991</v>
      </c>
      <c r="H69">
        <v>1850</v>
      </c>
      <c r="I69">
        <v>1614</v>
      </c>
      <c r="J69">
        <v>2127</v>
      </c>
      <c r="K69">
        <v>1</v>
      </c>
      <c r="L69">
        <v>3160186675</v>
      </c>
      <c r="M69">
        <v>4716566</v>
      </c>
      <c r="N69">
        <v>670.02</v>
      </c>
      <c r="O69">
        <v>43876</v>
      </c>
      <c r="P69">
        <v>820</v>
      </c>
      <c r="Q69">
        <v>329</v>
      </c>
      <c r="R69" t="s">
        <v>1992</v>
      </c>
      <c r="S69" t="s">
        <v>1993</v>
      </c>
      <c r="T69" t="s">
        <v>1994</v>
      </c>
      <c r="U69" t="s">
        <v>1995</v>
      </c>
    </row>
    <row r="70" spans="1:21">
      <c r="A70" t="s">
        <v>2070</v>
      </c>
      <c r="B70" t="s">
        <v>2070</v>
      </c>
      <c r="C70" t="s">
        <v>2068</v>
      </c>
      <c r="D70" t="s">
        <v>2071</v>
      </c>
      <c r="E70" t="s">
        <v>1987</v>
      </c>
      <c r="F70" t="s">
        <v>204</v>
      </c>
      <c r="G70" t="s">
        <v>1991</v>
      </c>
      <c r="H70">
        <v>5384</v>
      </c>
      <c r="I70">
        <v>98</v>
      </c>
      <c r="J70">
        <v>101</v>
      </c>
      <c r="K70">
        <v>9</v>
      </c>
      <c r="L70">
        <v>493675642</v>
      </c>
      <c r="M70">
        <v>367374</v>
      </c>
      <c r="N70">
        <v>1343.8</v>
      </c>
      <c r="O70">
        <v>134023</v>
      </c>
      <c r="P70">
        <v>10136</v>
      </c>
      <c r="Q70">
        <v>332</v>
      </c>
      <c r="R70" t="s">
        <v>1992</v>
      </c>
      <c r="S70" t="s">
        <v>1993</v>
      </c>
      <c r="T70" t="s">
        <v>1994</v>
      </c>
      <c r="U70" t="s">
        <v>1998</v>
      </c>
    </row>
    <row r="71" spans="1:21">
      <c r="A71" t="s">
        <v>3056</v>
      </c>
      <c r="B71" t="s">
        <v>3056</v>
      </c>
      <c r="C71" t="s">
        <v>3057</v>
      </c>
      <c r="D71" t="s">
        <v>3058</v>
      </c>
      <c r="E71" t="s">
        <v>31</v>
      </c>
      <c r="F71" t="s">
        <v>204</v>
      </c>
      <c r="G71" t="s">
        <v>1991</v>
      </c>
      <c r="H71">
        <v>5393</v>
      </c>
      <c r="I71">
        <v>71</v>
      </c>
      <c r="J71">
        <v>123</v>
      </c>
      <c r="K71">
        <v>5</v>
      </c>
      <c r="L71">
        <v>1144615108</v>
      </c>
      <c r="M71">
        <v>1396355</v>
      </c>
      <c r="N71">
        <v>819.72</v>
      </c>
      <c r="O71">
        <v>103442</v>
      </c>
      <c r="P71">
        <v>1902</v>
      </c>
      <c r="Q71">
        <v>283</v>
      </c>
      <c r="R71" t="s">
        <v>1992</v>
      </c>
      <c r="S71" t="s">
        <v>1993</v>
      </c>
      <c r="T71" t="s">
        <v>1994</v>
      </c>
      <c r="U71" t="s">
        <v>31</v>
      </c>
    </row>
    <row r="72" spans="1:21">
      <c r="A72" t="s">
        <v>3021</v>
      </c>
      <c r="B72" t="s">
        <v>3021</v>
      </c>
      <c r="C72" t="s">
        <v>3022</v>
      </c>
      <c r="D72" t="s">
        <v>3023</v>
      </c>
      <c r="E72" t="s">
        <v>31</v>
      </c>
      <c r="F72" t="s">
        <v>204</v>
      </c>
      <c r="G72" t="s">
        <v>1991</v>
      </c>
      <c r="H72">
        <v>4834</v>
      </c>
      <c r="I72">
        <v>285</v>
      </c>
      <c r="J72">
        <v>473</v>
      </c>
      <c r="K72">
        <v>0</v>
      </c>
      <c r="L72">
        <v>3742672304</v>
      </c>
      <c r="M72">
        <v>9059226</v>
      </c>
      <c r="N72">
        <v>413.13</v>
      </c>
      <c r="O72">
        <v>60190</v>
      </c>
      <c r="P72">
        <v>387</v>
      </c>
      <c r="Q72">
        <v>229</v>
      </c>
      <c r="R72" t="s">
        <v>1992</v>
      </c>
      <c r="S72" t="s">
        <v>1993</v>
      </c>
      <c r="T72" t="s">
        <v>1994</v>
      </c>
      <c r="U72" t="s">
        <v>3015</v>
      </c>
    </row>
    <row r="73" spans="1:21">
      <c r="A73" t="s">
        <v>3329</v>
      </c>
      <c r="B73" t="s">
        <v>3329</v>
      </c>
      <c r="C73" t="s">
        <v>3330</v>
      </c>
      <c r="D73" t="s">
        <v>3331</v>
      </c>
      <c r="E73" t="s">
        <v>1982</v>
      </c>
      <c r="F73" t="s">
        <v>204</v>
      </c>
      <c r="G73" t="s">
        <v>1991</v>
      </c>
      <c r="H73">
        <v>1477</v>
      </c>
      <c r="I73">
        <v>2681</v>
      </c>
      <c r="J73">
        <v>1430</v>
      </c>
      <c r="K73">
        <v>4</v>
      </c>
      <c r="L73">
        <v>1995329934</v>
      </c>
      <c r="M73">
        <v>3288704</v>
      </c>
      <c r="N73">
        <v>606.72</v>
      </c>
      <c r="O73">
        <v>71373</v>
      </c>
      <c r="P73">
        <v>1078</v>
      </c>
      <c r="Q73">
        <v>245</v>
      </c>
      <c r="R73" t="s">
        <v>1992</v>
      </c>
      <c r="S73" t="s">
        <v>1993</v>
      </c>
      <c r="T73" t="s">
        <v>1994</v>
      </c>
      <c r="U73" t="s">
        <v>2289</v>
      </c>
    </row>
    <row r="74" spans="1:21">
      <c r="A74" t="s">
        <v>3345</v>
      </c>
      <c r="B74" t="s">
        <v>3345</v>
      </c>
      <c r="C74" t="s">
        <v>3346</v>
      </c>
      <c r="D74" t="s">
        <v>3347</v>
      </c>
      <c r="E74" t="s">
        <v>1982</v>
      </c>
      <c r="F74" t="s">
        <v>204</v>
      </c>
      <c r="G74" t="s">
        <v>1991</v>
      </c>
      <c r="H74">
        <v>4826</v>
      </c>
      <c r="I74">
        <v>364</v>
      </c>
      <c r="J74">
        <v>396</v>
      </c>
      <c r="K74">
        <v>6</v>
      </c>
      <c r="L74">
        <v>1315708241</v>
      </c>
      <c r="M74">
        <v>2319041</v>
      </c>
      <c r="N74">
        <v>567.35</v>
      </c>
      <c r="O74">
        <v>50978</v>
      </c>
      <c r="P74">
        <v>892</v>
      </c>
      <c r="Q74">
        <v>240</v>
      </c>
      <c r="R74" t="s">
        <v>1992</v>
      </c>
      <c r="S74" t="s">
        <v>1993</v>
      </c>
      <c r="T74" t="s">
        <v>1994</v>
      </c>
      <c r="U74" t="s">
        <v>2289</v>
      </c>
    </row>
    <row r="75" spans="1:21">
      <c r="A75" t="s">
        <v>2687</v>
      </c>
      <c r="B75" t="s">
        <v>2687</v>
      </c>
      <c r="C75" t="s">
        <v>2688</v>
      </c>
      <c r="D75" t="s">
        <v>2689</v>
      </c>
      <c r="E75" t="s">
        <v>1982</v>
      </c>
      <c r="F75" t="s">
        <v>204</v>
      </c>
      <c r="G75" t="s">
        <v>1991</v>
      </c>
      <c r="H75">
        <v>1853</v>
      </c>
      <c r="I75">
        <v>2114</v>
      </c>
      <c r="J75">
        <v>1624</v>
      </c>
      <c r="K75">
        <v>1</v>
      </c>
      <c r="L75">
        <v>1940965269</v>
      </c>
      <c r="M75">
        <v>3239138</v>
      </c>
      <c r="N75">
        <v>599.22</v>
      </c>
      <c r="O75">
        <v>56543</v>
      </c>
      <c r="P75">
        <v>1012</v>
      </c>
      <c r="Q75">
        <v>247</v>
      </c>
      <c r="R75" t="s">
        <v>1992</v>
      </c>
      <c r="S75" t="s">
        <v>1993</v>
      </c>
      <c r="T75" t="s">
        <v>1994</v>
      </c>
      <c r="U75" t="s">
        <v>2289</v>
      </c>
    </row>
    <row r="76" spans="1:21">
      <c r="A76" t="s">
        <v>2466</v>
      </c>
      <c r="B76" t="s">
        <v>2466</v>
      </c>
      <c r="C76" t="s">
        <v>2467</v>
      </c>
      <c r="D76" t="s">
        <v>2468</v>
      </c>
      <c r="E76" t="s">
        <v>1982</v>
      </c>
      <c r="F76" t="s">
        <v>204</v>
      </c>
      <c r="G76" t="s">
        <v>1991</v>
      </c>
      <c r="H76">
        <v>5249</v>
      </c>
      <c r="I76">
        <v>94</v>
      </c>
      <c r="J76">
        <v>240</v>
      </c>
      <c r="K76">
        <v>9</v>
      </c>
      <c r="L76">
        <v>953702945</v>
      </c>
      <c r="M76">
        <v>1547394</v>
      </c>
      <c r="N76">
        <v>616.33000000000004</v>
      </c>
      <c r="O76">
        <v>79896</v>
      </c>
      <c r="P76">
        <v>954</v>
      </c>
      <c r="Q76">
        <v>248</v>
      </c>
      <c r="R76" t="s">
        <v>1992</v>
      </c>
      <c r="S76" t="s">
        <v>1993</v>
      </c>
      <c r="T76" t="s">
        <v>1994</v>
      </c>
      <c r="U76" t="s">
        <v>1995</v>
      </c>
    </row>
    <row r="77" spans="1:21">
      <c r="A77" t="s">
        <v>3085</v>
      </c>
      <c r="B77" t="s">
        <v>3085</v>
      </c>
      <c r="C77" t="s">
        <v>3086</v>
      </c>
      <c r="D77" t="s">
        <v>3087</v>
      </c>
      <c r="E77" t="s">
        <v>31</v>
      </c>
      <c r="F77" t="s">
        <v>204</v>
      </c>
      <c r="G77" t="s">
        <v>1991</v>
      </c>
      <c r="H77">
        <v>5396</v>
      </c>
      <c r="I77">
        <v>82</v>
      </c>
      <c r="J77">
        <v>112</v>
      </c>
      <c r="K77">
        <v>2</v>
      </c>
      <c r="L77">
        <v>916416306</v>
      </c>
      <c r="M77">
        <v>884638</v>
      </c>
      <c r="N77">
        <v>1035.92</v>
      </c>
      <c r="O77">
        <v>114861</v>
      </c>
      <c r="P77">
        <v>5534</v>
      </c>
      <c r="Q77">
        <v>283</v>
      </c>
      <c r="R77" t="s">
        <v>1992</v>
      </c>
      <c r="S77" t="s">
        <v>1993</v>
      </c>
      <c r="T77" t="s">
        <v>1994</v>
      </c>
      <c r="U77" t="s">
        <v>2446</v>
      </c>
    </row>
    <row r="78" spans="1:21">
      <c r="A78" t="s">
        <v>2999</v>
      </c>
      <c r="B78" t="s">
        <v>2999</v>
      </c>
      <c r="C78" t="s">
        <v>3000</v>
      </c>
      <c r="D78" t="s">
        <v>3001</v>
      </c>
      <c r="E78" t="s">
        <v>1982</v>
      </c>
      <c r="F78" t="s">
        <v>204</v>
      </c>
      <c r="G78" t="s">
        <v>1991</v>
      </c>
      <c r="H78">
        <v>2211</v>
      </c>
      <c r="I78">
        <v>2303</v>
      </c>
      <c r="J78">
        <v>1078</v>
      </c>
      <c r="K78">
        <v>0</v>
      </c>
      <c r="L78">
        <v>2435255874</v>
      </c>
      <c r="M78">
        <v>3262376</v>
      </c>
      <c r="N78">
        <v>746.47</v>
      </c>
      <c r="O78">
        <v>78378</v>
      </c>
      <c r="P78">
        <v>1380</v>
      </c>
      <c r="Q78">
        <v>283</v>
      </c>
      <c r="R78" t="s">
        <v>1992</v>
      </c>
      <c r="S78" t="s">
        <v>1993</v>
      </c>
      <c r="T78" t="s">
        <v>1994</v>
      </c>
      <c r="U78" t="s">
        <v>2001</v>
      </c>
    </row>
    <row r="79" spans="1:21">
      <c r="A79" t="s">
        <v>2645</v>
      </c>
      <c r="B79" t="s">
        <v>2645</v>
      </c>
      <c r="C79" t="s">
        <v>2646</v>
      </c>
      <c r="D79" t="s">
        <v>2647</v>
      </c>
      <c r="E79" t="s">
        <v>1982</v>
      </c>
      <c r="F79" t="s">
        <v>204</v>
      </c>
      <c r="G79" t="s">
        <v>1991</v>
      </c>
      <c r="H79">
        <v>3740</v>
      </c>
      <c r="I79">
        <v>794</v>
      </c>
      <c r="J79">
        <v>1051</v>
      </c>
      <c r="K79">
        <v>7</v>
      </c>
      <c r="L79">
        <v>1935102620</v>
      </c>
      <c r="M79">
        <v>3809626</v>
      </c>
      <c r="N79">
        <v>507.95</v>
      </c>
      <c r="O79">
        <v>258767</v>
      </c>
      <c r="P79">
        <v>573</v>
      </c>
      <c r="Q79">
        <v>236</v>
      </c>
      <c r="R79" t="s">
        <v>1992</v>
      </c>
      <c r="S79" t="s">
        <v>1993</v>
      </c>
      <c r="T79" t="s">
        <v>1994</v>
      </c>
      <c r="U79" t="s">
        <v>2636</v>
      </c>
    </row>
    <row r="80" spans="1:21">
      <c r="A80" t="s">
        <v>2633</v>
      </c>
      <c r="B80" t="s">
        <v>2633</v>
      </c>
      <c r="C80" t="s">
        <v>2634</v>
      </c>
      <c r="D80" t="s">
        <v>2635</v>
      </c>
      <c r="E80" t="s">
        <v>1982</v>
      </c>
      <c r="F80" t="s">
        <v>204</v>
      </c>
      <c r="G80" t="s">
        <v>1991</v>
      </c>
      <c r="H80">
        <v>1770</v>
      </c>
      <c r="I80">
        <v>2673</v>
      </c>
      <c r="J80">
        <v>1144</v>
      </c>
      <c r="K80">
        <v>5</v>
      </c>
      <c r="L80">
        <v>1672692222</v>
      </c>
      <c r="M80">
        <v>2144258</v>
      </c>
      <c r="N80">
        <v>780.08</v>
      </c>
      <c r="O80">
        <v>116262</v>
      </c>
      <c r="P80">
        <v>1755</v>
      </c>
      <c r="Q80">
        <v>283</v>
      </c>
      <c r="R80" t="s">
        <v>1992</v>
      </c>
      <c r="S80" t="s">
        <v>1993</v>
      </c>
      <c r="T80" t="s">
        <v>1994</v>
      </c>
      <c r="U80" t="s">
        <v>2636</v>
      </c>
    </row>
    <row r="81" spans="1:21">
      <c r="A81" t="s">
        <v>2623</v>
      </c>
      <c r="B81" t="s">
        <v>2623</v>
      </c>
      <c r="C81" t="s">
        <v>2624</v>
      </c>
      <c r="D81" t="s">
        <v>2625</v>
      </c>
      <c r="E81" t="s">
        <v>1982</v>
      </c>
      <c r="F81" t="s">
        <v>204</v>
      </c>
      <c r="G81" t="s">
        <v>1991</v>
      </c>
      <c r="H81">
        <v>4957</v>
      </c>
      <c r="I81">
        <v>309</v>
      </c>
      <c r="J81">
        <v>321</v>
      </c>
      <c r="K81">
        <v>5</v>
      </c>
      <c r="L81">
        <v>2051272050</v>
      </c>
      <c r="M81">
        <v>4672479</v>
      </c>
      <c r="N81">
        <v>439.01</v>
      </c>
      <c r="O81">
        <v>68013</v>
      </c>
      <c r="P81">
        <v>405</v>
      </c>
      <c r="Q81">
        <v>229</v>
      </c>
      <c r="R81" t="s">
        <v>1992</v>
      </c>
      <c r="S81" t="s">
        <v>1993</v>
      </c>
      <c r="T81" t="s">
        <v>1994</v>
      </c>
      <c r="U81" t="s">
        <v>1998</v>
      </c>
    </row>
    <row r="82" spans="1:21">
      <c r="A82" t="s">
        <v>2570</v>
      </c>
      <c r="B82" t="s">
        <v>2570</v>
      </c>
      <c r="C82" t="s">
        <v>2571</v>
      </c>
      <c r="D82" t="s">
        <v>2572</v>
      </c>
      <c r="E82" t="s">
        <v>1982</v>
      </c>
      <c r="F82" t="s">
        <v>204</v>
      </c>
      <c r="G82" t="s">
        <v>1991</v>
      </c>
      <c r="H82">
        <v>1683</v>
      </c>
      <c r="I82">
        <v>2755</v>
      </c>
      <c r="J82">
        <v>1152</v>
      </c>
      <c r="K82">
        <v>2</v>
      </c>
      <c r="L82">
        <v>1455590682</v>
      </c>
      <c r="M82">
        <v>1310862</v>
      </c>
      <c r="N82">
        <v>1110.4100000000001</v>
      </c>
      <c r="O82">
        <v>75588</v>
      </c>
      <c r="P82">
        <v>4002</v>
      </c>
      <c r="Q82">
        <v>325</v>
      </c>
      <c r="R82" t="s">
        <v>1992</v>
      </c>
      <c r="S82" t="s">
        <v>1993</v>
      </c>
      <c r="T82" t="s">
        <v>1994</v>
      </c>
      <c r="U82" t="s">
        <v>2284</v>
      </c>
    </row>
    <row r="83" spans="1:21">
      <c r="A83" t="s">
        <v>2584</v>
      </c>
      <c r="B83" t="s">
        <v>2584</v>
      </c>
      <c r="C83" t="s">
        <v>2585</v>
      </c>
      <c r="D83" t="s">
        <v>2586</v>
      </c>
      <c r="E83" t="s">
        <v>1982</v>
      </c>
      <c r="F83" t="s">
        <v>204</v>
      </c>
      <c r="G83" t="s">
        <v>1991</v>
      </c>
      <c r="H83">
        <v>5340</v>
      </c>
      <c r="I83">
        <v>60</v>
      </c>
      <c r="J83">
        <v>180</v>
      </c>
      <c r="K83">
        <v>12</v>
      </c>
      <c r="L83">
        <v>401567877</v>
      </c>
      <c r="M83">
        <v>316907</v>
      </c>
      <c r="N83">
        <v>1267.1500000000001</v>
      </c>
      <c r="O83">
        <v>114559</v>
      </c>
      <c r="P83">
        <v>8935</v>
      </c>
      <c r="Q83">
        <v>337</v>
      </c>
      <c r="R83" t="s">
        <v>1992</v>
      </c>
      <c r="S83" t="s">
        <v>1993</v>
      </c>
      <c r="T83" t="s">
        <v>1994</v>
      </c>
      <c r="U83" t="s">
        <v>2284</v>
      </c>
    </row>
    <row r="84" spans="1:21">
      <c r="A84" t="s">
        <v>2453</v>
      </c>
      <c r="B84" t="s">
        <v>2453</v>
      </c>
      <c r="C84" t="s">
        <v>2454</v>
      </c>
      <c r="D84" t="s">
        <v>2455</v>
      </c>
      <c r="E84" t="s">
        <v>1982</v>
      </c>
      <c r="F84" t="s">
        <v>204</v>
      </c>
      <c r="G84" t="s">
        <v>1991</v>
      </c>
      <c r="H84">
        <v>4021</v>
      </c>
      <c r="I84">
        <v>732</v>
      </c>
      <c r="J84">
        <v>837</v>
      </c>
      <c r="K84">
        <v>2</v>
      </c>
      <c r="L84">
        <v>1342652811</v>
      </c>
      <c r="M84">
        <v>1908686</v>
      </c>
      <c r="N84">
        <v>703.44</v>
      </c>
      <c r="O84">
        <v>139371</v>
      </c>
      <c r="P84">
        <v>970</v>
      </c>
      <c r="Q84">
        <v>302</v>
      </c>
      <c r="R84" t="s">
        <v>1992</v>
      </c>
      <c r="S84" t="s">
        <v>1993</v>
      </c>
      <c r="T84" t="s">
        <v>1994</v>
      </c>
      <c r="U84" t="s">
        <v>1995</v>
      </c>
    </row>
    <row r="85" spans="1:21">
      <c r="A85" t="s">
        <v>2472</v>
      </c>
      <c r="B85" t="s">
        <v>2472</v>
      </c>
      <c r="C85" t="s">
        <v>2473</v>
      </c>
      <c r="D85" t="s">
        <v>2474</v>
      </c>
      <c r="E85" t="s">
        <v>1982</v>
      </c>
      <c r="F85" t="s">
        <v>204</v>
      </c>
      <c r="G85" t="s">
        <v>1991</v>
      </c>
      <c r="H85">
        <v>5092</v>
      </c>
      <c r="I85">
        <v>202</v>
      </c>
      <c r="J85">
        <v>296</v>
      </c>
      <c r="K85">
        <v>2</v>
      </c>
      <c r="L85">
        <v>1237472324</v>
      </c>
      <c r="M85">
        <v>2524736</v>
      </c>
      <c r="N85">
        <v>490.14</v>
      </c>
      <c r="O85">
        <v>60899</v>
      </c>
      <c r="P85">
        <v>492</v>
      </c>
      <c r="Q85">
        <v>233</v>
      </c>
      <c r="R85" t="s">
        <v>1992</v>
      </c>
      <c r="S85" t="s">
        <v>1993</v>
      </c>
      <c r="T85" t="s">
        <v>1994</v>
      </c>
      <c r="U85" t="s">
        <v>1995</v>
      </c>
    </row>
    <row r="86" spans="1:21">
      <c r="A86" t="s">
        <v>2109</v>
      </c>
      <c r="B86" t="s">
        <v>2109</v>
      </c>
      <c r="C86" t="s">
        <v>2110</v>
      </c>
      <c r="D86" t="s">
        <v>2111</v>
      </c>
      <c r="E86" t="s">
        <v>1982</v>
      </c>
      <c r="F86" t="s">
        <v>204</v>
      </c>
      <c r="G86" t="s">
        <v>1991</v>
      </c>
      <c r="H86">
        <v>1726</v>
      </c>
      <c r="I86">
        <v>2643</v>
      </c>
      <c r="J86">
        <v>1221</v>
      </c>
      <c r="K86">
        <v>2</v>
      </c>
      <c r="L86">
        <v>3267715590</v>
      </c>
      <c r="M86">
        <v>5026060</v>
      </c>
      <c r="N86">
        <v>650.15</v>
      </c>
      <c r="O86">
        <v>54322</v>
      </c>
      <c r="P86">
        <v>966</v>
      </c>
      <c r="Q86">
        <v>281</v>
      </c>
      <c r="R86" t="s">
        <v>1992</v>
      </c>
      <c r="S86" t="s">
        <v>1993</v>
      </c>
      <c r="T86" t="s">
        <v>1994</v>
      </c>
      <c r="U86" t="s">
        <v>1998</v>
      </c>
    </row>
    <row r="87" spans="1:21">
      <c r="A87" t="s">
        <v>2308</v>
      </c>
      <c r="B87" t="s">
        <v>2308</v>
      </c>
      <c r="C87" t="s">
        <v>2309</v>
      </c>
      <c r="D87" t="s">
        <v>2310</v>
      </c>
      <c r="E87" t="s">
        <v>1987</v>
      </c>
      <c r="F87" t="s">
        <v>204</v>
      </c>
      <c r="G87" t="s">
        <v>1991</v>
      </c>
      <c r="H87">
        <v>5325</v>
      </c>
      <c r="I87">
        <v>138</v>
      </c>
      <c r="J87">
        <v>120</v>
      </c>
      <c r="K87">
        <v>9</v>
      </c>
      <c r="L87">
        <v>527045350</v>
      </c>
      <c r="M87">
        <v>453986</v>
      </c>
      <c r="N87">
        <v>1160.93</v>
      </c>
      <c r="O87">
        <v>241875</v>
      </c>
      <c r="P87">
        <v>10883</v>
      </c>
      <c r="Q87">
        <v>300</v>
      </c>
      <c r="R87" t="s">
        <v>1992</v>
      </c>
      <c r="S87" t="s">
        <v>1993</v>
      </c>
      <c r="T87" t="s">
        <v>1994</v>
      </c>
      <c r="U87" t="s">
        <v>2294</v>
      </c>
    </row>
    <row r="88" spans="1:21">
      <c r="A88" t="s">
        <v>2305</v>
      </c>
      <c r="B88" t="s">
        <v>2305</v>
      </c>
      <c r="C88" t="s">
        <v>2306</v>
      </c>
      <c r="D88" t="s">
        <v>2307</v>
      </c>
      <c r="E88" t="s">
        <v>1987</v>
      </c>
      <c r="F88" t="s">
        <v>204</v>
      </c>
      <c r="G88" t="s">
        <v>1991</v>
      </c>
      <c r="H88">
        <v>2898</v>
      </c>
      <c r="I88">
        <v>1452</v>
      </c>
      <c r="J88">
        <v>1239</v>
      </c>
      <c r="K88">
        <v>3</v>
      </c>
      <c r="L88">
        <v>1528286947</v>
      </c>
      <c r="M88">
        <v>2412612</v>
      </c>
      <c r="N88">
        <v>633.46</v>
      </c>
      <c r="O88">
        <v>79247</v>
      </c>
      <c r="P88">
        <v>809</v>
      </c>
      <c r="Q88">
        <v>283</v>
      </c>
      <c r="R88" t="s">
        <v>1992</v>
      </c>
      <c r="S88" t="s">
        <v>1993</v>
      </c>
      <c r="T88" t="s">
        <v>1994</v>
      </c>
      <c r="U88" t="s">
        <v>2294</v>
      </c>
    </row>
    <row r="89" spans="1:21">
      <c r="A89" t="s">
        <v>2311</v>
      </c>
      <c r="B89" t="s">
        <v>2311</v>
      </c>
      <c r="C89" t="s">
        <v>2312</v>
      </c>
      <c r="D89" t="s">
        <v>2313</v>
      </c>
      <c r="E89" t="s">
        <v>1987</v>
      </c>
      <c r="F89" t="s">
        <v>204</v>
      </c>
      <c r="G89" t="s">
        <v>1991</v>
      </c>
      <c r="H89">
        <v>3353</v>
      </c>
      <c r="I89">
        <v>1174</v>
      </c>
      <c r="J89">
        <v>1049</v>
      </c>
      <c r="K89">
        <v>16</v>
      </c>
      <c r="L89">
        <v>1099068743</v>
      </c>
      <c r="M89">
        <v>1233102</v>
      </c>
      <c r="N89">
        <v>891.3</v>
      </c>
      <c r="O89">
        <v>452134</v>
      </c>
      <c r="P89">
        <v>1550</v>
      </c>
      <c r="Q89">
        <v>338</v>
      </c>
      <c r="R89" t="s">
        <v>1992</v>
      </c>
      <c r="S89" t="s">
        <v>1993</v>
      </c>
      <c r="T89" t="s">
        <v>1994</v>
      </c>
      <c r="U89" t="s">
        <v>2294</v>
      </c>
    </row>
    <row r="90" spans="1:21">
      <c r="A90" t="s">
        <v>2317</v>
      </c>
      <c r="B90" t="s">
        <v>2317</v>
      </c>
      <c r="C90" t="s">
        <v>2315</v>
      </c>
      <c r="D90" t="s">
        <v>2318</v>
      </c>
      <c r="E90" t="s">
        <v>1987</v>
      </c>
      <c r="F90" t="s">
        <v>204</v>
      </c>
      <c r="G90" t="s">
        <v>1991</v>
      </c>
      <c r="H90">
        <v>5067</v>
      </c>
      <c r="I90">
        <v>92</v>
      </c>
      <c r="J90">
        <v>413</v>
      </c>
      <c r="K90">
        <v>20</v>
      </c>
      <c r="L90">
        <v>1725710442</v>
      </c>
      <c r="M90">
        <v>2387553</v>
      </c>
      <c r="N90">
        <v>722.79</v>
      </c>
      <c r="O90">
        <v>249633</v>
      </c>
      <c r="P90">
        <v>1259</v>
      </c>
      <c r="Q90">
        <v>283</v>
      </c>
      <c r="R90" t="s">
        <v>1992</v>
      </c>
      <c r="S90" t="s">
        <v>1993</v>
      </c>
      <c r="T90" t="s">
        <v>1994</v>
      </c>
      <c r="U90" t="s">
        <v>2294</v>
      </c>
    </row>
    <row r="91" spans="1:21">
      <c r="A91" t="s">
        <v>2232</v>
      </c>
      <c r="B91" t="s">
        <v>2232</v>
      </c>
      <c r="C91" t="s">
        <v>2233</v>
      </c>
      <c r="D91" t="s">
        <v>2234</v>
      </c>
      <c r="E91" t="s">
        <v>1982</v>
      </c>
      <c r="F91" t="s">
        <v>204</v>
      </c>
      <c r="G91" t="s">
        <v>1991</v>
      </c>
      <c r="H91">
        <v>5251</v>
      </c>
      <c r="I91">
        <v>154</v>
      </c>
      <c r="J91">
        <v>183</v>
      </c>
      <c r="K91">
        <v>4</v>
      </c>
      <c r="L91">
        <v>998379718</v>
      </c>
      <c r="M91">
        <v>1226964</v>
      </c>
      <c r="N91">
        <v>813.7</v>
      </c>
      <c r="O91">
        <v>94023</v>
      </c>
      <c r="P91">
        <v>2122</v>
      </c>
      <c r="Q91">
        <v>283</v>
      </c>
      <c r="R91" t="s">
        <v>1992</v>
      </c>
      <c r="S91" t="s">
        <v>1993</v>
      </c>
      <c r="T91" t="s">
        <v>1994</v>
      </c>
      <c r="U91" t="s">
        <v>1998</v>
      </c>
    </row>
    <row r="92" spans="1:21">
      <c r="A92" t="s">
        <v>2253</v>
      </c>
      <c r="B92" t="s">
        <v>2253</v>
      </c>
      <c r="C92" t="s">
        <v>2254</v>
      </c>
      <c r="D92" t="s">
        <v>2255</v>
      </c>
      <c r="E92" t="s">
        <v>1982</v>
      </c>
      <c r="F92" t="s">
        <v>204</v>
      </c>
      <c r="G92" t="s">
        <v>1991</v>
      </c>
      <c r="H92">
        <v>4435</v>
      </c>
      <c r="I92">
        <v>219</v>
      </c>
      <c r="J92">
        <v>936</v>
      </c>
      <c r="K92">
        <v>2</v>
      </c>
      <c r="L92">
        <v>1055730990</v>
      </c>
      <c r="M92">
        <v>1528777</v>
      </c>
      <c r="N92">
        <v>690.57</v>
      </c>
      <c r="O92">
        <v>52320</v>
      </c>
      <c r="P92">
        <v>808</v>
      </c>
      <c r="Q92">
        <v>337</v>
      </c>
      <c r="R92" t="s">
        <v>1992</v>
      </c>
      <c r="S92" t="s">
        <v>1993</v>
      </c>
      <c r="T92" t="s">
        <v>1994</v>
      </c>
      <c r="U92" t="s">
        <v>1998</v>
      </c>
    </row>
    <row r="93" spans="1:21">
      <c r="A93" t="s">
        <v>2394</v>
      </c>
      <c r="B93" t="s">
        <v>2394</v>
      </c>
      <c r="C93" t="s">
        <v>2395</v>
      </c>
      <c r="D93" t="s">
        <v>2396</v>
      </c>
      <c r="E93" t="s">
        <v>1982</v>
      </c>
      <c r="F93" t="s">
        <v>204</v>
      </c>
      <c r="G93" t="s">
        <v>1991</v>
      </c>
      <c r="H93">
        <v>5302</v>
      </c>
      <c r="I93">
        <v>154</v>
      </c>
      <c r="J93">
        <v>134</v>
      </c>
      <c r="K93">
        <v>2</v>
      </c>
      <c r="L93">
        <v>759685545</v>
      </c>
      <c r="M93">
        <v>999870</v>
      </c>
      <c r="N93">
        <v>759.78</v>
      </c>
      <c r="O93">
        <v>129912</v>
      </c>
      <c r="P93">
        <v>2712</v>
      </c>
      <c r="Q93">
        <v>267</v>
      </c>
      <c r="R93" t="s">
        <v>1992</v>
      </c>
      <c r="S93" t="s">
        <v>1993</v>
      </c>
      <c r="T93" t="s">
        <v>1994</v>
      </c>
      <c r="U93" t="s">
        <v>1995</v>
      </c>
    </row>
    <row r="94" spans="1:21">
      <c r="A94" t="s">
        <v>2440</v>
      </c>
      <c r="B94" t="s">
        <v>2440</v>
      </c>
      <c r="C94" t="s">
        <v>2441</v>
      </c>
      <c r="D94" t="s">
        <v>2442</v>
      </c>
      <c r="E94" t="s">
        <v>1987</v>
      </c>
      <c r="F94" t="s">
        <v>204</v>
      </c>
      <c r="G94" t="s">
        <v>1991</v>
      </c>
      <c r="H94">
        <v>1157</v>
      </c>
      <c r="I94">
        <v>3536</v>
      </c>
      <c r="J94">
        <v>895</v>
      </c>
      <c r="K94">
        <v>4</v>
      </c>
      <c r="L94">
        <v>1251468566</v>
      </c>
      <c r="M94">
        <v>944348</v>
      </c>
      <c r="N94">
        <v>1325.22</v>
      </c>
      <c r="O94">
        <v>102083</v>
      </c>
      <c r="P94">
        <v>7852</v>
      </c>
      <c r="Q94">
        <v>328</v>
      </c>
      <c r="R94" t="s">
        <v>1992</v>
      </c>
      <c r="S94" t="s">
        <v>1993</v>
      </c>
      <c r="T94" t="s">
        <v>1994</v>
      </c>
      <c r="U94" t="s">
        <v>2010</v>
      </c>
    </row>
    <row r="95" spans="1:21">
      <c r="A95" t="s">
        <v>2443</v>
      </c>
      <c r="B95" t="s">
        <v>2443</v>
      </c>
      <c r="C95" t="s">
        <v>2444</v>
      </c>
      <c r="D95" t="s">
        <v>2445</v>
      </c>
      <c r="E95" t="s">
        <v>1987</v>
      </c>
      <c r="F95" t="s">
        <v>204</v>
      </c>
      <c r="G95" t="s">
        <v>1991</v>
      </c>
      <c r="H95">
        <v>2210</v>
      </c>
      <c r="I95">
        <v>1994</v>
      </c>
      <c r="J95">
        <v>1387</v>
      </c>
      <c r="K95">
        <v>1</v>
      </c>
      <c r="L95">
        <v>2446165586</v>
      </c>
      <c r="M95">
        <v>3234512</v>
      </c>
      <c r="N95">
        <v>756.27</v>
      </c>
      <c r="O95">
        <v>209262</v>
      </c>
      <c r="P95">
        <v>1585</v>
      </c>
      <c r="Q95">
        <v>283</v>
      </c>
      <c r="R95" t="s">
        <v>1992</v>
      </c>
      <c r="S95" t="s">
        <v>1993</v>
      </c>
      <c r="T95" t="s">
        <v>1994</v>
      </c>
      <c r="U95" t="s">
        <v>2011</v>
      </c>
    </row>
    <row r="96" spans="1:21">
      <c r="A96" t="s">
        <v>2404</v>
      </c>
      <c r="B96" t="s">
        <v>2404</v>
      </c>
      <c r="C96" t="s">
        <v>2405</v>
      </c>
      <c r="D96" t="s">
        <v>2406</v>
      </c>
      <c r="E96" t="s">
        <v>1982</v>
      </c>
      <c r="F96" t="s">
        <v>204</v>
      </c>
      <c r="G96" t="s">
        <v>1991</v>
      </c>
      <c r="H96">
        <v>4358</v>
      </c>
      <c r="I96">
        <v>645</v>
      </c>
      <c r="J96">
        <v>586</v>
      </c>
      <c r="K96">
        <v>3</v>
      </c>
      <c r="L96">
        <v>875165753</v>
      </c>
      <c r="M96">
        <v>1051990</v>
      </c>
      <c r="N96">
        <v>831.91</v>
      </c>
      <c r="O96">
        <v>103071</v>
      </c>
      <c r="P96">
        <v>2574</v>
      </c>
      <c r="Q96">
        <v>282</v>
      </c>
      <c r="R96" t="s">
        <v>1992</v>
      </c>
      <c r="S96" t="s">
        <v>1993</v>
      </c>
      <c r="T96" t="s">
        <v>1994</v>
      </c>
      <c r="U96" t="s">
        <v>2010</v>
      </c>
    </row>
    <row r="97" spans="1:21">
      <c r="A97" t="s">
        <v>2407</v>
      </c>
      <c r="B97" t="s">
        <v>2407</v>
      </c>
      <c r="C97" t="s">
        <v>2408</v>
      </c>
      <c r="D97" t="s">
        <v>2409</v>
      </c>
      <c r="E97" t="s">
        <v>31</v>
      </c>
      <c r="F97" t="s">
        <v>204</v>
      </c>
      <c r="G97" t="s">
        <v>1991</v>
      </c>
      <c r="H97">
        <v>4443</v>
      </c>
      <c r="I97">
        <v>347</v>
      </c>
      <c r="J97">
        <v>798</v>
      </c>
      <c r="K97">
        <v>4</v>
      </c>
      <c r="L97">
        <v>2589379657</v>
      </c>
      <c r="M97">
        <v>4634527</v>
      </c>
      <c r="N97">
        <v>558.71</v>
      </c>
      <c r="O97">
        <v>471899</v>
      </c>
      <c r="P97">
        <v>728</v>
      </c>
      <c r="Q97">
        <v>248</v>
      </c>
      <c r="R97" t="s">
        <v>1992</v>
      </c>
      <c r="S97" t="s">
        <v>1993</v>
      </c>
      <c r="T97" t="s">
        <v>1994</v>
      </c>
      <c r="U97" t="s">
        <v>2010</v>
      </c>
    </row>
    <row r="98" spans="1:21">
      <c r="A98" t="s">
        <v>2416</v>
      </c>
      <c r="B98" t="s">
        <v>2416</v>
      </c>
      <c r="C98" t="s">
        <v>2417</v>
      </c>
      <c r="D98" t="s">
        <v>2418</v>
      </c>
      <c r="E98" t="s">
        <v>1982</v>
      </c>
      <c r="F98" t="s">
        <v>204</v>
      </c>
      <c r="G98" t="s">
        <v>1991</v>
      </c>
      <c r="H98">
        <v>4347</v>
      </c>
      <c r="I98">
        <v>632</v>
      </c>
      <c r="J98">
        <v>610</v>
      </c>
      <c r="K98">
        <v>3</v>
      </c>
      <c r="L98">
        <v>776703537</v>
      </c>
      <c r="M98">
        <v>1068389</v>
      </c>
      <c r="N98">
        <v>726.99</v>
      </c>
      <c r="O98">
        <v>49797</v>
      </c>
      <c r="P98">
        <v>1575</v>
      </c>
      <c r="Q98">
        <v>276</v>
      </c>
      <c r="R98" t="s">
        <v>1992</v>
      </c>
      <c r="S98" t="s">
        <v>1993</v>
      </c>
      <c r="T98" t="s">
        <v>1994</v>
      </c>
      <c r="U98" t="s">
        <v>2010</v>
      </c>
    </row>
    <row r="99" spans="1:21">
      <c r="A99" t="s">
        <v>2419</v>
      </c>
      <c r="B99" t="s">
        <v>2419</v>
      </c>
      <c r="C99" t="s">
        <v>2420</v>
      </c>
      <c r="D99" t="s">
        <v>2421</v>
      </c>
      <c r="E99" t="s">
        <v>1982</v>
      </c>
      <c r="F99" t="s">
        <v>204</v>
      </c>
      <c r="G99" t="s">
        <v>1991</v>
      </c>
      <c r="H99">
        <v>4949</v>
      </c>
      <c r="I99">
        <v>306</v>
      </c>
      <c r="J99">
        <v>335</v>
      </c>
      <c r="K99">
        <v>2</v>
      </c>
      <c r="L99">
        <v>756398292</v>
      </c>
      <c r="M99">
        <v>758066</v>
      </c>
      <c r="N99">
        <v>997.8</v>
      </c>
      <c r="O99">
        <v>94035</v>
      </c>
      <c r="P99">
        <v>3539</v>
      </c>
      <c r="Q99">
        <v>291</v>
      </c>
      <c r="R99" t="s">
        <v>1992</v>
      </c>
      <c r="S99" t="s">
        <v>1993</v>
      </c>
      <c r="T99" t="s">
        <v>1994</v>
      </c>
      <c r="U99" t="s">
        <v>2010</v>
      </c>
    </row>
    <row r="100" spans="1:21">
      <c r="A100" t="s">
        <v>2966</v>
      </c>
      <c r="B100" t="s">
        <v>2966</v>
      </c>
      <c r="C100" t="s">
        <v>2967</v>
      </c>
      <c r="D100" t="s">
        <v>2968</v>
      </c>
      <c r="E100" t="s">
        <v>1982</v>
      </c>
      <c r="F100" t="s">
        <v>204</v>
      </c>
      <c r="G100" t="s">
        <v>1991</v>
      </c>
      <c r="H100">
        <v>1894</v>
      </c>
      <c r="I100">
        <v>2813</v>
      </c>
      <c r="J100">
        <v>885</v>
      </c>
      <c r="K100">
        <v>0</v>
      </c>
      <c r="L100">
        <v>2804270039</v>
      </c>
      <c r="M100">
        <v>1813980</v>
      </c>
      <c r="N100">
        <v>1545.92</v>
      </c>
      <c r="O100">
        <v>138814</v>
      </c>
      <c r="P100">
        <v>8271</v>
      </c>
      <c r="Q100">
        <v>380</v>
      </c>
      <c r="R100" t="s">
        <v>1992</v>
      </c>
      <c r="S100" t="s">
        <v>1993</v>
      </c>
      <c r="T100" t="s">
        <v>1994</v>
      </c>
      <c r="U100" t="s">
        <v>31</v>
      </c>
    </row>
    <row r="101" spans="1:21">
      <c r="A101" t="s">
        <v>2602</v>
      </c>
      <c r="B101" t="s">
        <v>2602</v>
      </c>
      <c r="C101" t="s">
        <v>2603</v>
      </c>
      <c r="D101" t="s">
        <v>2604</v>
      </c>
      <c r="E101" t="s">
        <v>1982</v>
      </c>
      <c r="F101" t="s">
        <v>204</v>
      </c>
      <c r="G101" t="s">
        <v>1991</v>
      </c>
      <c r="H101">
        <v>3522</v>
      </c>
      <c r="I101">
        <v>154</v>
      </c>
      <c r="J101">
        <v>1889</v>
      </c>
      <c r="K101">
        <v>27</v>
      </c>
      <c r="L101">
        <v>2870207066</v>
      </c>
      <c r="M101">
        <v>4530794</v>
      </c>
      <c r="N101">
        <v>633.49</v>
      </c>
      <c r="O101">
        <v>94726</v>
      </c>
      <c r="P101">
        <v>759</v>
      </c>
      <c r="Q101">
        <v>313</v>
      </c>
      <c r="R101" t="s">
        <v>1992</v>
      </c>
      <c r="S101" t="s">
        <v>1993</v>
      </c>
      <c r="T101" t="s">
        <v>1994</v>
      </c>
      <c r="U101" t="s">
        <v>31</v>
      </c>
    </row>
    <row r="102" spans="1:21">
      <c r="A102" t="s">
        <v>2599</v>
      </c>
      <c r="B102" t="s">
        <v>2599</v>
      </c>
      <c r="C102" t="s">
        <v>2600</v>
      </c>
      <c r="D102" t="s">
        <v>2601</v>
      </c>
      <c r="E102" t="s">
        <v>1987</v>
      </c>
      <c r="F102" t="s">
        <v>204</v>
      </c>
      <c r="G102" t="s">
        <v>1991</v>
      </c>
      <c r="H102">
        <v>3741</v>
      </c>
      <c r="I102">
        <v>628</v>
      </c>
      <c r="J102">
        <v>1205</v>
      </c>
      <c r="K102">
        <v>18</v>
      </c>
      <c r="L102">
        <v>4587245773</v>
      </c>
      <c r="M102">
        <v>7862927</v>
      </c>
      <c r="N102">
        <v>583.4</v>
      </c>
      <c r="O102">
        <v>67174</v>
      </c>
      <c r="P102">
        <v>779</v>
      </c>
      <c r="Q102">
        <v>259</v>
      </c>
      <c r="R102" t="s">
        <v>1992</v>
      </c>
      <c r="S102" t="s">
        <v>1993</v>
      </c>
      <c r="T102" t="s">
        <v>1994</v>
      </c>
      <c r="U102" t="s">
        <v>31</v>
      </c>
    </row>
    <row r="103" spans="1:21">
      <c r="A103" t="s">
        <v>2626</v>
      </c>
      <c r="B103" t="s">
        <v>2626</v>
      </c>
      <c r="C103" t="s">
        <v>2624</v>
      </c>
      <c r="D103" t="s">
        <v>2627</v>
      </c>
      <c r="E103" t="s">
        <v>1982</v>
      </c>
      <c r="F103" t="s">
        <v>204</v>
      </c>
      <c r="G103" t="s">
        <v>1991</v>
      </c>
      <c r="H103">
        <v>3860</v>
      </c>
      <c r="I103">
        <v>648</v>
      </c>
      <c r="J103">
        <v>1080</v>
      </c>
      <c r="K103">
        <v>4</v>
      </c>
      <c r="L103">
        <v>2497153580</v>
      </c>
      <c r="M103">
        <v>5339934</v>
      </c>
      <c r="N103">
        <v>467.64</v>
      </c>
      <c r="O103">
        <v>37976</v>
      </c>
      <c r="P103">
        <v>468</v>
      </c>
      <c r="Q103">
        <v>254</v>
      </c>
      <c r="R103" t="s">
        <v>1992</v>
      </c>
      <c r="S103" t="s">
        <v>1993</v>
      </c>
      <c r="T103" t="s">
        <v>1994</v>
      </c>
      <c r="U103" t="s">
        <v>1998</v>
      </c>
    </row>
    <row r="104" spans="1:21">
      <c r="A104" t="s">
        <v>2707</v>
      </c>
      <c r="B104" t="s">
        <v>2707</v>
      </c>
      <c r="C104" t="s">
        <v>2708</v>
      </c>
      <c r="D104" t="s">
        <v>2709</v>
      </c>
      <c r="E104" t="s">
        <v>1982</v>
      </c>
      <c r="F104" t="s">
        <v>204</v>
      </c>
      <c r="G104" t="s">
        <v>1991</v>
      </c>
      <c r="H104">
        <v>2064</v>
      </c>
      <c r="I104">
        <v>1886</v>
      </c>
      <c r="J104">
        <v>1637</v>
      </c>
      <c r="K104">
        <v>5</v>
      </c>
      <c r="L104">
        <v>3592096808</v>
      </c>
      <c r="M104">
        <v>5939925</v>
      </c>
      <c r="N104">
        <v>604.74</v>
      </c>
      <c r="O104">
        <v>76641</v>
      </c>
      <c r="P104">
        <v>908</v>
      </c>
      <c r="Q104">
        <v>253</v>
      </c>
      <c r="R104" t="s">
        <v>1992</v>
      </c>
      <c r="S104" t="s">
        <v>1993</v>
      </c>
      <c r="T104" t="s">
        <v>1994</v>
      </c>
      <c r="U104" t="s">
        <v>2710</v>
      </c>
    </row>
    <row r="105" spans="1:21">
      <c r="A105" t="s">
        <v>2711</v>
      </c>
      <c r="B105" t="s">
        <v>2711</v>
      </c>
      <c r="C105" t="s">
        <v>2712</v>
      </c>
      <c r="D105" t="s">
        <v>2713</v>
      </c>
      <c r="E105" t="s">
        <v>1982</v>
      </c>
      <c r="F105" t="s">
        <v>204</v>
      </c>
      <c r="G105" t="s">
        <v>1991</v>
      </c>
      <c r="H105">
        <v>5029</v>
      </c>
      <c r="I105">
        <v>175</v>
      </c>
      <c r="J105">
        <v>384</v>
      </c>
      <c r="K105">
        <v>4</v>
      </c>
      <c r="L105">
        <v>1612167914</v>
      </c>
      <c r="M105">
        <v>2492601</v>
      </c>
      <c r="N105">
        <v>646.78</v>
      </c>
      <c r="O105">
        <v>74825</v>
      </c>
      <c r="P105">
        <v>961</v>
      </c>
      <c r="Q105">
        <v>273</v>
      </c>
      <c r="R105" t="s">
        <v>1992</v>
      </c>
      <c r="S105" t="s">
        <v>1993</v>
      </c>
      <c r="T105" t="s">
        <v>1994</v>
      </c>
      <c r="U105" t="s">
        <v>2710</v>
      </c>
    </row>
    <row r="106" spans="1:21">
      <c r="A106" t="s">
        <v>2697</v>
      </c>
      <c r="B106" t="s">
        <v>2697</v>
      </c>
      <c r="C106" t="s">
        <v>2698</v>
      </c>
      <c r="D106" t="s">
        <v>2699</v>
      </c>
      <c r="E106" t="s">
        <v>1982</v>
      </c>
      <c r="F106" t="s">
        <v>204</v>
      </c>
      <c r="G106" t="s">
        <v>1991</v>
      </c>
      <c r="H106">
        <v>5155</v>
      </c>
      <c r="I106">
        <v>167</v>
      </c>
      <c r="J106">
        <v>262</v>
      </c>
      <c r="K106">
        <v>8</v>
      </c>
      <c r="L106">
        <v>2052885248</v>
      </c>
      <c r="M106">
        <v>3568577</v>
      </c>
      <c r="N106">
        <v>575.27</v>
      </c>
      <c r="O106">
        <v>162973</v>
      </c>
      <c r="P106">
        <v>729</v>
      </c>
      <c r="Q106">
        <v>253</v>
      </c>
      <c r="R106" t="s">
        <v>1992</v>
      </c>
      <c r="S106" t="s">
        <v>1993</v>
      </c>
      <c r="T106" t="s">
        <v>1994</v>
      </c>
      <c r="U106" t="s">
        <v>2289</v>
      </c>
    </row>
    <row r="107" spans="1:21">
      <c r="A107" t="s">
        <v>3480</v>
      </c>
      <c r="B107" t="s">
        <v>3480</v>
      </c>
      <c r="C107" t="s">
        <v>3481</v>
      </c>
      <c r="D107" t="s">
        <v>3482</v>
      </c>
      <c r="E107" t="s">
        <v>1982</v>
      </c>
      <c r="F107" t="s">
        <v>204</v>
      </c>
      <c r="G107" t="s">
        <v>1991</v>
      </c>
      <c r="H107">
        <v>3453</v>
      </c>
      <c r="I107">
        <v>1460</v>
      </c>
      <c r="J107">
        <v>677</v>
      </c>
      <c r="K107">
        <v>2</v>
      </c>
      <c r="L107">
        <v>2258703737</v>
      </c>
      <c r="M107">
        <v>3352501</v>
      </c>
      <c r="N107">
        <v>673.74</v>
      </c>
      <c r="O107">
        <v>82608</v>
      </c>
      <c r="P107">
        <v>976</v>
      </c>
      <c r="Q107">
        <v>283</v>
      </c>
      <c r="R107" t="s">
        <v>1992</v>
      </c>
      <c r="S107" t="s">
        <v>1993</v>
      </c>
      <c r="T107" t="s">
        <v>1994</v>
      </c>
      <c r="U107" t="s">
        <v>3460</v>
      </c>
    </row>
    <row r="108" spans="1:21">
      <c r="A108" t="s">
        <v>3493</v>
      </c>
      <c r="B108" t="s">
        <v>3493</v>
      </c>
      <c r="C108" t="s">
        <v>3494</v>
      </c>
      <c r="D108" t="s">
        <v>3495</v>
      </c>
      <c r="E108" t="s">
        <v>1982</v>
      </c>
      <c r="F108" t="s">
        <v>204</v>
      </c>
      <c r="G108" t="s">
        <v>1991</v>
      </c>
      <c r="H108">
        <v>2990</v>
      </c>
      <c r="I108">
        <v>1440</v>
      </c>
      <c r="J108">
        <v>1162</v>
      </c>
      <c r="K108">
        <v>0</v>
      </c>
      <c r="L108">
        <v>3992407594</v>
      </c>
      <c r="M108">
        <v>6478284</v>
      </c>
      <c r="N108">
        <v>616.28</v>
      </c>
      <c r="O108">
        <v>39113</v>
      </c>
      <c r="P108">
        <v>697</v>
      </c>
      <c r="Q108">
        <v>327</v>
      </c>
      <c r="R108" t="s">
        <v>1992</v>
      </c>
      <c r="S108" t="s">
        <v>1993</v>
      </c>
      <c r="T108" t="s">
        <v>1994</v>
      </c>
      <c r="U108" t="s">
        <v>3460</v>
      </c>
    </row>
    <row r="109" spans="1:21">
      <c r="A109" t="s">
        <v>3417</v>
      </c>
      <c r="B109" t="s">
        <v>3417</v>
      </c>
      <c r="C109" t="s">
        <v>3418</v>
      </c>
      <c r="D109" t="s">
        <v>3419</v>
      </c>
      <c r="E109" t="s">
        <v>1987</v>
      </c>
      <c r="F109" t="s">
        <v>204</v>
      </c>
      <c r="G109" t="s">
        <v>1991</v>
      </c>
      <c r="H109">
        <v>5381</v>
      </c>
      <c r="I109">
        <v>110</v>
      </c>
      <c r="J109">
        <v>94</v>
      </c>
      <c r="K109">
        <v>7</v>
      </c>
      <c r="L109">
        <v>1203955611</v>
      </c>
      <c r="M109">
        <v>1036685</v>
      </c>
      <c r="N109">
        <v>1161.3499999999999</v>
      </c>
      <c r="O109">
        <v>222923</v>
      </c>
      <c r="P109">
        <v>5515</v>
      </c>
      <c r="Q109">
        <v>342</v>
      </c>
      <c r="R109" t="s">
        <v>1992</v>
      </c>
      <c r="S109" t="s">
        <v>1993</v>
      </c>
      <c r="T109" t="s">
        <v>1994</v>
      </c>
      <c r="U109" t="s">
        <v>2636</v>
      </c>
    </row>
    <row r="110" spans="1:21">
      <c r="A110" t="s">
        <v>3230</v>
      </c>
      <c r="B110" t="s">
        <v>3230</v>
      </c>
      <c r="C110" t="s">
        <v>3231</v>
      </c>
      <c r="D110" t="s">
        <v>3232</v>
      </c>
      <c r="E110" t="s">
        <v>1982</v>
      </c>
      <c r="F110" t="s">
        <v>204</v>
      </c>
      <c r="G110" t="s">
        <v>1991</v>
      </c>
      <c r="H110">
        <v>5023</v>
      </c>
      <c r="I110">
        <v>258</v>
      </c>
      <c r="J110">
        <v>307</v>
      </c>
      <c r="K110">
        <v>4</v>
      </c>
      <c r="L110">
        <v>2857249068</v>
      </c>
      <c r="M110">
        <v>6018537</v>
      </c>
      <c r="N110">
        <v>474.74</v>
      </c>
      <c r="O110">
        <v>47937</v>
      </c>
      <c r="P110">
        <v>489</v>
      </c>
      <c r="Q110">
        <v>237</v>
      </c>
      <c r="R110" t="s">
        <v>1992</v>
      </c>
      <c r="S110" t="s">
        <v>1993</v>
      </c>
      <c r="T110" t="s">
        <v>1994</v>
      </c>
      <c r="U110" t="s">
        <v>1998</v>
      </c>
    </row>
    <row r="111" spans="1:21">
      <c r="A111" t="s">
        <v>2904</v>
      </c>
      <c r="B111" t="s">
        <v>2904</v>
      </c>
      <c r="C111" t="s">
        <v>2905</v>
      </c>
      <c r="D111" t="s">
        <v>2906</v>
      </c>
      <c r="E111" t="s">
        <v>1982</v>
      </c>
      <c r="F111" t="s">
        <v>204</v>
      </c>
      <c r="G111" t="s">
        <v>1991</v>
      </c>
      <c r="H111">
        <v>5148</v>
      </c>
      <c r="I111">
        <v>185</v>
      </c>
      <c r="J111">
        <v>256</v>
      </c>
      <c r="K111">
        <v>3</v>
      </c>
      <c r="L111">
        <v>1004406962</v>
      </c>
      <c r="M111">
        <v>1806061</v>
      </c>
      <c r="N111">
        <v>556.13</v>
      </c>
      <c r="O111">
        <v>75959</v>
      </c>
      <c r="P111">
        <v>744</v>
      </c>
      <c r="Q111">
        <v>235</v>
      </c>
      <c r="R111" t="s">
        <v>1992</v>
      </c>
      <c r="S111" t="s">
        <v>1993</v>
      </c>
      <c r="T111" t="s">
        <v>1994</v>
      </c>
      <c r="U111" t="s">
        <v>2284</v>
      </c>
    </row>
    <row r="112" spans="1:21">
      <c r="A112" t="s">
        <v>2567</v>
      </c>
      <c r="B112" t="s">
        <v>2567</v>
      </c>
      <c r="C112" t="s">
        <v>2568</v>
      </c>
      <c r="D112" t="s">
        <v>2569</v>
      </c>
      <c r="E112" t="s">
        <v>1982</v>
      </c>
      <c r="F112" t="s">
        <v>204</v>
      </c>
      <c r="G112" t="s">
        <v>1991</v>
      </c>
      <c r="H112">
        <v>1853</v>
      </c>
      <c r="I112">
        <v>2542</v>
      </c>
      <c r="J112">
        <v>1194</v>
      </c>
      <c r="K112">
        <v>3</v>
      </c>
      <c r="L112">
        <v>1331896228</v>
      </c>
      <c r="M112">
        <v>1488265</v>
      </c>
      <c r="N112">
        <v>894.93</v>
      </c>
      <c r="O112">
        <v>59031</v>
      </c>
      <c r="P112">
        <v>2549</v>
      </c>
      <c r="Q112">
        <v>283</v>
      </c>
      <c r="R112" t="s">
        <v>1992</v>
      </c>
      <c r="S112" t="s">
        <v>1993</v>
      </c>
      <c r="T112" t="s">
        <v>1994</v>
      </c>
      <c r="U112" t="s">
        <v>2284</v>
      </c>
    </row>
    <row r="113" spans="1:21">
      <c r="A113" t="s">
        <v>2435</v>
      </c>
      <c r="B113" t="s">
        <v>2435</v>
      </c>
      <c r="C113" t="s">
        <v>2436</v>
      </c>
      <c r="D113" t="s">
        <v>2437</v>
      </c>
      <c r="E113" t="s">
        <v>1982</v>
      </c>
      <c r="F113" t="s">
        <v>204</v>
      </c>
      <c r="G113" t="s">
        <v>1991</v>
      </c>
      <c r="H113">
        <v>5456</v>
      </c>
      <c r="I113">
        <v>46</v>
      </c>
      <c r="J113">
        <v>83</v>
      </c>
      <c r="K113">
        <v>7</v>
      </c>
      <c r="L113">
        <v>607460937</v>
      </c>
      <c r="M113">
        <v>357489</v>
      </c>
      <c r="N113">
        <v>1699.24</v>
      </c>
      <c r="O113">
        <v>280568</v>
      </c>
      <c r="P113">
        <v>19085</v>
      </c>
      <c r="Q113">
        <v>432</v>
      </c>
      <c r="R113" t="s">
        <v>1992</v>
      </c>
      <c r="S113" t="s">
        <v>1993</v>
      </c>
      <c r="T113" t="s">
        <v>1994</v>
      </c>
      <c r="U113" t="s">
        <v>2010</v>
      </c>
    </row>
    <row r="114" spans="1:21">
      <c r="A114" t="s">
        <v>2704</v>
      </c>
      <c r="B114" t="s">
        <v>2704</v>
      </c>
      <c r="C114" t="s">
        <v>2705</v>
      </c>
      <c r="D114" t="s">
        <v>2706</v>
      </c>
      <c r="E114" t="s">
        <v>1982</v>
      </c>
      <c r="F114" t="s">
        <v>204</v>
      </c>
      <c r="G114" t="s">
        <v>1991</v>
      </c>
      <c r="H114">
        <v>4653</v>
      </c>
      <c r="I114">
        <v>493</v>
      </c>
      <c r="J114">
        <v>442</v>
      </c>
      <c r="K114">
        <v>4</v>
      </c>
      <c r="L114">
        <v>567694035</v>
      </c>
      <c r="M114">
        <v>607138</v>
      </c>
      <c r="N114">
        <v>935.03</v>
      </c>
      <c r="O114">
        <v>65915</v>
      </c>
      <c r="P114">
        <v>2541</v>
      </c>
      <c r="Q114">
        <v>293</v>
      </c>
      <c r="R114" t="s">
        <v>1992</v>
      </c>
      <c r="S114" t="s">
        <v>1993</v>
      </c>
      <c r="T114" t="s">
        <v>1994</v>
      </c>
      <c r="U114" t="s">
        <v>1998</v>
      </c>
    </row>
    <row r="115" spans="1:21">
      <c r="A115" t="s">
        <v>2995</v>
      </c>
      <c r="B115" t="s">
        <v>2995</v>
      </c>
      <c r="C115" t="s">
        <v>655</v>
      </c>
      <c r="D115" t="s">
        <v>2996</v>
      </c>
      <c r="E115" t="s">
        <v>1982</v>
      </c>
      <c r="F115" t="s">
        <v>204</v>
      </c>
      <c r="G115" t="s">
        <v>1991</v>
      </c>
      <c r="H115">
        <v>1995</v>
      </c>
      <c r="I115">
        <v>2414</v>
      </c>
      <c r="J115">
        <v>1183</v>
      </c>
      <c r="K115">
        <v>0</v>
      </c>
      <c r="L115">
        <v>2584498883</v>
      </c>
      <c r="M115">
        <v>3529980</v>
      </c>
      <c r="N115">
        <v>732.16</v>
      </c>
      <c r="O115">
        <v>90306</v>
      </c>
      <c r="P115">
        <v>1224</v>
      </c>
      <c r="Q115">
        <v>284</v>
      </c>
      <c r="R115" t="s">
        <v>1992</v>
      </c>
      <c r="S115" t="s">
        <v>1993</v>
      </c>
      <c r="T115" t="s">
        <v>1994</v>
      </c>
      <c r="U115" t="s">
        <v>2001</v>
      </c>
    </row>
    <row r="116" spans="1:21">
      <c r="A116" t="s">
        <v>2975</v>
      </c>
      <c r="B116" t="s">
        <v>2975</v>
      </c>
      <c r="C116" t="s">
        <v>2976</v>
      </c>
      <c r="D116" t="s">
        <v>2977</v>
      </c>
      <c r="E116" t="s">
        <v>1987</v>
      </c>
      <c r="F116" t="s">
        <v>204</v>
      </c>
      <c r="G116" t="s">
        <v>1991</v>
      </c>
      <c r="H116">
        <v>2747</v>
      </c>
      <c r="I116">
        <v>1635</v>
      </c>
      <c r="J116">
        <v>1207</v>
      </c>
      <c r="K116">
        <v>3</v>
      </c>
      <c r="L116">
        <v>2140158435</v>
      </c>
      <c r="M116">
        <v>2088274</v>
      </c>
      <c r="N116">
        <v>1024.8499999999999</v>
      </c>
      <c r="O116">
        <v>80772</v>
      </c>
      <c r="P116">
        <v>2902</v>
      </c>
      <c r="Q116">
        <v>327</v>
      </c>
      <c r="R116" t="s">
        <v>1992</v>
      </c>
      <c r="S116" t="s">
        <v>1993</v>
      </c>
      <c r="T116" t="s">
        <v>1994</v>
      </c>
      <c r="U116" t="s">
        <v>31</v>
      </c>
    </row>
    <row r="117" spans="1:21">
      <c r="A117" t="s">
        <v>2972</v>
      </c>
      <c r="B117" t="s">
        <v>2972</v>
      </c>
      <c r="C117" t="s">
        <v>2973</v>
      </c>
      <c r="D117" t="s">
        <v>2974</v>
      </c>
      <c r="E117" t="s">
        <v>1982</v>
      </c>
      <c r="F117" t="s">
        <v>204</v>
      </c>
      <c r="G117" t="s">
        <v>1991</v>
      </c>
      <c r="H117">
        <v>2516</v>
      </c>
      <c r="I117">
        <v>1533</v>
      </c>
      <c r="J117">
        <v>1538</v>
      </c>
      <c r="K117">
        <v>5</v>
      </c>
      <c r="L117">
        <v>3189123540</v>
      </c>
      <c r="M117">
        <v>6725049</v>
      </c>
      <c r="N117">
        <v>474.22</v>
      </c>
      <c r="O117">
        <v>70140</v>
      </c>
      <c r="P117">
        <v>498</v>
      </c>
      <c r="Q117">
        <v>233</v>
      </c>
      <c r="R117" t="s">
        <v>1992</v>
      </c>
      <c r="S117" t="s">
        <v>1993</v>
      </c>
      <c r="T117" t="s">
        <v>1994</v>
      </c>
      <c r="U117" t="s">
        <v>31</v>
      </c>
    </row>
    <row r="118" spans="1:21">
      <c r="A118" t="s">
        <v>2992</v>
      </c>
      <c r="B118" t="s">
        <v>2992</v>
      </c>
      <c r="C118" t="s">
        <v>2993</v>
      </c>
      <c r="D118" t="s">
        <v>2994</v>
      </c>
      <c r="E118" t="s">
        <v>1982</v>
      </c>
      <c r="F118" t="s">
        <v>204</v>
      </c>
      <c r="G118" t="s">
        <v>1991</v>
      </c>
      <c r="H118">
        <v>2794</v>
      </c>
      <c r="I118">
        <v>1541</v>
      </c>
      <c r="J118">
        <v>1257</v>
      </c>
      <c r="K118">
        <v>0</v>
      </c>
      <c r="L118">
        <v>2434283620</v>
      </c>
      <c r="M118">
        <v>3574399</v>
      </c>
      <c r="N118">
        <v>681.03</v>
      </c>
      <c r="O118">
        <v>87995</v>
      </c>
      <c r="P118">
        <v>807</v>
      </c>
      <c r="Q118">
        <v>337</v>
      </c>
      <c r="R118" t="s">
        <v>1992</v>
      </c>
      <c r="S118" t="s">
        <v>1993</v>
      </c>
      <c r="T118" t="s">
        <v>1994</v>
      </c>
      <c r="U118" t="s">
        <v>2001</v>
      </c>
    </row>
    <row r="119" spans="1:21">
      <c r="A119" t="s">
        <v>2989</v>
      </c>
      <c r="B119" t="s">
        <v>2989</v>
      </c>
      <c r="C119" t="s">
        <v>2990</v>
      </c>
      <c r="D119" t="s">
        <v>2991</v>
      </c>
      <c r="E119" t="s">
        <v>1982</v>
      </c>
      <c r="F119" t="s">
        <v>204</v>
      </c>
      <c r="G119" t="s">
        <v>1991</v>
      </c>
      <c r="H119">
        <v>2431</v>
      </c>
      <c r="I119">
        <v>2446</v>
      </c>
      <c r="J119">
        <v>711</v>
      </c>
      <c r="K119">
        <v>4</v>
      </c>
      <c r="L119">
        <v>1557371373</v>
      </c>
      <c r="M119">
        <v>1433511</v>
      </c>
      <c r="N119">
        <v>1086.4000000000001</v>
      </c>
      <c r="O119">
        <v>148317</v>
      </c>
      <c r="P119">
        <v>2367</v>
      </c>
      <c r="Q119">
        <v>386</v>
      </c>
      <c r="R119" t="s">
        <v>1992</v>
      </c>
      <c r="S119" t="s">
        <v>1993</v>
      </c>
      <c r="T119" t="s">
        <v>1994</v>
      </c>
      <c r="U119" t="s">
        <v>2001</v>
      </c>
    </row>
    <row r="120" spans="1:21">
      <c r="A120" t="s">
        <v>2893</v>
      </c>
      <c r="B120" t="s">
        <v>2893</v>
      </c>
      <c r="C120" t="s">
        <v>2894</v>
      </c>
      <c r="D120" t="s">
        <v>2895</v>
      </c>
      <c r="E120" t="s">
        <v>1982</v>
      </c>
      <c r="F120" t="s">
        <v>204</v>
      </c>
      <c r="G120" t="s">
        <v>1991</v>
      </c>
      <c r="H120">
        <v>2188</v>
      </c>
      <c r="I120">
        <v>2154</v>
      </c>
      <c r="J120">
        <v>1249</v>
      </c>
      <c r="K120">
        <v>1</v>
      </c>
      <c r="L120">
        <v>2047692800</v>
      </c>
      <c r="M120">
        <v>3039916</v>
      </c>
      <c r="N120">
        <v>673.6</v>
      </c>
      <c r="O120">
        <v>104977</v>
      </c>
      <c r="P120">
        <v>1289</v>
      </c>
      <c r="Q120">
        <v>266</v>
      </c>
      <c r="R120" t="s">
        <v>1992</v>
      </c>
      <c r="S120" t="s">
        <v>1993</v>
      </c>
      <c r="T120" t="s">
        <v>1994</v>
      </c>
      <c r="U120" t="s">
        <v>2284</v>
      </c>
    </row>
    <row r="121" spans="1:21">
      <c r="A121" t="s">
        <v>2887</v>
      </c>
      <c r="B121" t="s">
        <v>2887</v>
      </c>
      <c r="C121" t="s">
        <v>2888</v>
      </c>
      <c r="D121" t="s">
        <v>2889</v>
      </c>
      <c r="E121" t="s">
        <v>1982</v>
      </c>
      <c r="F121" t="s">
        <v>204</v>
      </c>
      <c r="G121" t="s">
        <v>1991</v>
      </c>
      <c r="H121">
        <v>1964</v>
      </c>
      <c r="I121">
        <v>3332</v>
      </c>
      <c r="J121">
        <v>296</v>
      </c>
      <c r="K121">
        <v>0</v>
      </c>
      <c r="L121">
        <v>1917699524</v>
      </c>
      <c r="M121">
        <v>1405204</v>
      </c>
      <c r="N121">
        <v>1364.71</v>
      </c>
      <c r="O121">
        <v>91939</v>
      </c>
      <c r="P121">
        <v>5269</v>
      </c>
      <c r="Q121">
        <v>370</v>
      </c>
      <c r="R121" t="s">
        <v>1992</v>
      </c>
      <c r="S121" t="s">
        <v>1993</v>
      </c>
      <c r="T121" t="s">
        <v>1994</v>
      </c>
      <c r="U121" t="s">
        <v>2284</v>
      </c>
    </row>
    <row r="122" spans="1:21">
      <c r="A122" t="s">
        <v>2944</v>
      </c>
      <c r="B122" t="s">
        <v>2944</v>
      </c>
      <c r="C122" t="s">
        <v>2945</v>
      </c>
      <c r="D122" t="s">
        <v>2946</v>
      </c>
      <c r="E122" t="s">
        <v>1987</v>
      </c>
      <c r="F122" t="s">
        <v>204</v>
      </c>
      <c r="G122" t="s">
        <v>1991</v>
      </c>
      <c r="H122">
        <v>5320</v>
      </c>
      <c r="I122">
        <v>107</v>
      </c>
      <c r="J122">
        <v>158</v>
      </c>
      <c r="K122">
        <v>7</v>
      </c>
      <c r="L122">
        <v>681603343</v>
      </c>
      <c r="M122">
        <v>689336</v>
      </c>
      <c r="N122">
        <v>988.78</v>
      </c>
      <c r="O122">
        <v>101834</v>
      </c>
      <c r="P122">
        <v>4656</v>
      </c>
      <c r="Q122">
        <v>283</v>
      </c>
      <c r="R122" t="s">
        <v>1992</v>
      </c>
      <c r="S122" t="s">
        <v>1993</v>
      </c>
      <c r="T122" t="s">
        <v>1994</v>
      </c>
      <c r="U122" t="s">
        <v>1995</v>
      </c>
    </row>
    <row r="123" spans="1:21">
      <c r="A123" t="s">
        <v>2546</v>
      </c>
      <c r="B123" t="s">
        <v>2547</v>
      </c>
      <c r="C123" t="s">
        <v>2544</v>
      </c>
      <c r="D123" t="s">
        <v>2548</v>
      </c>
      <c r="E123" t="s">
        <v>31</v>
      </c>
      <c r="F123" t="s">
        <v>204</v>
      </c>
      <c r="G123" t="s">
        <v>1991</v>
      </c>
      <c r="H123">
        <v>5279</v>
      </c>
      <c r="I123">
        <v>134</v>
      </c>
      <c r="J123">
        <v>175</v>
      </c>
      <c r="K123">
        <v>4</v>
      </c>
      <c r="L123">
        <v>630787990</v>
      </c>
      <c r="M123">
        <v>642012</v>
      </c>
      <c r="N123">
        <v>982.52</v>
      </c>
      <c r="O123">
        <v>96875</v>
      </c>
      <c r="P123">
        <v>5385</v>
      </c>
      <c r="Q123">
        <v>283</v>
      </c>
      <c r="R123" t="s">
        <v>1992</v>
      </c>
      <c r="S123" t="s">
        <v>1993</v>
      </c>
      <c r="T123" t="s">
        <v>1994</v>
      </c>
      <c r="U123" t="s">
        <v>1998</v>
      </c>
    </row>
    <row r="124" spans="1:21">
      <c r="A124" t="s">
        <v>2896</v>
      </c>
      <c r="B124" t="s">
        <v>2897</v>
      </c>
      <c r="C124" t="s">
        <v>2898</v>
      </c>
      <c r="D124" t="s">
        <v>2899</v>
      </c>
      <c r="E124" t="s">
        <v>1982</v>
      </c>
      <c r="F124" t="s">
        <v>204</v>
      </c>
      <c r="G124" t="s">
        <v>1991</v>
      </c>
      <c r="H124">
        <v>1716</v>
      </c>
      <c r="I124">
        <v>2732</v>
      </c>
      <c r="J124">
        <v>1144</v>
      </c>
      <c r="K124">
        <v>0</v>
      </c>
      <c r="L124">
        <v>2471213551</v>
      </c>
      <c r="M124">
        <v>2322266</v>
      </c>
      <c r="N124">
        <v>1064.1400000000001</v>
      </c>
      <c r="O124">
        <v>70170</v>
      </c>
      <c r="P124">
        <v>2466</v>
      </c>
      <c r="Q124">
        <v>344</v>
      </c>
      <c r="R124" t="s">
        <v>1992</v>
      </c>
      <c r="S124" t="s">
        <v>1993</v>
      </c>
      <c r="T124" t="s">
        <v>1994</v>
      </c>
      <c r="U124" t="s">
        <v>2284</v>
      </c>
    </row>
    <row r="125" spans="1:21">
      <c r="A125" t="s">
        <v>2556</v>
      </c>
      <c r="B125" t="s">
        <v>2557</v>
      </c>
      <c r="C125" t="s">
        <v>2558</v>
      </c>
      <c r="E125" t="s">
        <v>1982</v>
      </c>
      <c r="F125" t="s">
        <v>204</v>
      </c>
      <c r="G125" t="s">
        <v>1991</v>
      </c>
      <c r="H125">
        <v>3897</v>
      </c>
      <c r="I125">
        <v>813</v>
      </c>
      <c r="J125">
        <v>876</v>
      </c>
      <c r="K125">
        <v>6</v>
      </c>
      <c r="L125">
        <v>2497099290</v>
      </c>
      <c r="M125">
        <v>5457300</v>
      </c>
      <c r="N125">
        <v>457.57</v>
      </c>
      <c r="O125">
        <v>61261</v>
      </c>
      <c r="P125">
        <v>453</v>
      </c>
      <c r="Q125">
        <v>234</v>
      </c>
      <c r="R125" t="s">
        <v>1992</v>
      </c>
      <c r="S125" t="s">
        <v>1993</v>
      </c>
      <c r="T125" t="s">
        <v>1994</v>
      </c>
      <c r="U125" t="s">
        <v>1998</v>
      </c>
    </row>
    <row r="126" spans="1:21">
      <c r="A126" t="s">
        <v>2918</v>
      </c>
      <c r="B126" t="s">
        <v>2919</v>
      </c>
      <c r="C126" t="s">
        <v>2916</v>
      </c>
      <c r="D126" t="s">
        <v>2920</v>
      </c>
      <c r="E126" t="s">
        <v>1982</v>
      </c>
      <c r="F126" t="s">
        <v>204</v>
      </c>
      <c r="G126" t="s">
        <v>1991</v>
      </c>
      <c r="H126">
        <v>5361</v>
      </c>
      <c r="I126">
        <v>75</v>
      </c>
      <c r="J126">
        <v>152</v>
      </c>
      <c r="K126">
        <v>4</v>
      </c>
      <c r="L126">
        <v>987818485</v>
      </c>
      <c r="M126">
        <v>1393987</v>
      </c>
      <c r="N126">
        <v>708.63</v>
      </c>
      <c r="O126">
        <v>92736</v>
      </c>
      <c r="P126">
        <v>1363</v>
      </c>
      <c r="Q126">
        <v>272</v>
      </c>
      <c r="R126" t="s">
        <v>1992</v>
      </c>
      <c r="S126" t="s">
        <v>1993</v>
      </c>
      <c r="T126" t="s">
        <v>1994</v>
      </c>
      <c r="U126" t="s">
        <v>2284</v>
      </c>
    </row>
    <row r="127" spans="1:21">
      <c r="A127" t="s">
        <v>2371</v>
      </c>
      <c r="B127" t="s">
        <v>2372</v>
      </c>
      <c r="C127" t="s">
        <v>2369</v>
      </c>
      <c r="D127" t="s">
        <v>2373</v>
      </c>
      <c r="E127" t="s">
        <v>1982</v>
      </c>
      <c r="F127" t="s">
        <v>204</v>
      </c>
      <c r="G127" t="s">
        <v>1991</v>
      </c>
      <c r="H127">
        <v>1765</v>
      </c>
      <c r="I127">
        <v>3133</v>
      </c>
      <c r="J127">
        <v>693</v>
      </c>
      <c r="K127">
        <v>1</v>
      </c>
      <c r="L127">
        <v>2299439162</v>
      </c>
      <c r="M127">
        <v>3618073</v>
      </c>
      <c r="N127">
        <v>635.54</v>
      </c>
      <c r="O127">
        <v>80536</v>
      </c>
      <c r="P127">
        <v>1488</v>
      </c>
      <c r="Q127">
        <v>245</v>
      </c>
      <c r="R127" t="s">
        <v>1992</v>
      </c>
      <c r="S127" t="s">
        <v>1993</v>
      </c>
      <c r="T127" t="s">
        <v>1994</v>
      </c>
      <c r="U127" t="s">
        <v>1995</v>
      </c>
    </row>
    <row r="128" spans="1:21">
      <c r="A128" t="s">
        <v>2081</v>
      </c>
      <c r="B128" t="s">
        <v>2082</v>
      </c>
      <c r="C128" t="s">
        <v>1997</v>
      </c>
      <c r="D128" t="s">
        <v>2083</v>
      </c>
      <c r="E128" t="s">
        <v>1982</v>
      </c>
      <c r="F128" t="s">
        <v>204</v>
      </c>
      <c r="G128" t="s">
        <v>1991</v>
      </c>
      <c r="H128">
        <v>1580</v>
      </c>
      <c r="I128">
        <v>2841</v>
      </c>
      <c r="J128">
        <v>1170</v>
      </c>
      <c r="K128">
        <v>1</v>
      </c>
      <c r="L128">
        <v>2740237095</v>
      </c>
      <c r="M128">
        <v>3098122</v>
      </c>
      <c r="N128">
        <v>884.48</v>
      </c>
      <c r="O128">
        <v>76766</v>
      </c>
      <c r="P128">
        <v>2672</v>
      </c>
      <c r="Q128">
        <v>288</v>
      </c>
      <c r="R128" t="s">
        <v>1992</v>
      </c>
      <c r="S128" t="s">
        <v>1993</v>
      </c>
      <c r="T128" t="s">
        <v>1994</v>
      </c>
      <c r="U128" t="s">
        <v>1998</v>
      </c>
    </row>
    <row r="129" spans="1:21">
      <c r="A129" t="s">
        <v>3361</v>
      </c>
      <c r="B129" t="s">
        <v>3362</v>
      </c>
      <c r="C129" t="s">
        <v>3363</v>
      </c>
      <c r="D129" t="s">
        <v>3364</v>
      </c>
      <c r="E129" t="s">
        <v>2025</v>
      </c>
      <c r="F129" t="s">
        <v>204</v>
      </c>
      <c r="G129" t="s">
        <v>1991</v>
      </c>
      <c r="H129">
        <v>4614</v>
      </c>
      <c r="I129">
        <v>356</v>
      </c>
      <c r="J129">
        <v>622</v>
      </c>
      <c r="K129">
        <v>0</v>
      </c>
      <c r="L129">
        <v>1911148698</v>
      </c>
      <c r="M129">
        <v>3786890</v>
      </c>
      <c r="N129">
        <v>504.67</v>
      </c>
      <c r="O129">
        <v>190444</v>
      </c>
      <c r="P129">
        <v>568</v>
      </c>
      <c r="Q129">
        <v>236</v>
      </c>
      <c r="R129" t="s">
        <v>1992</v>
      </c>
      <c r="S129" t="s">
        <v>1993</v>
      </c>
      <c r="T129" t="s">
        <v>1994</v>
      </c>
      <c r="U129" t="s">
        <v>2011</v>
      </c>
    </row>
    <row r="130" spans="1:21">
      <c r="A130" t="s">
        <v>3383</v>
      </c>
      <c r="B130" t="s">
        <v>3383</v>
      </c>
      <c r="C130" t="s">
        <v>3384</v>
      </c>
      <c r="D130" t="s">
        <v>3385</v>
      </c>
      <c r="E130" t="s">
        <v>1987</v>
      </c>
      <c r="F130" t="s">
        <v>204</v>
      </c>
      <c r="G130" t="s">
        <v>1991</v>
      </c>
      <c r="H130">
        <v>4081</v>
      </c>
      <c r="I130">
        <v>236</v>
      </c>
      <c r="J130">
        <v>1268</v>
      </c>
      <c r="K130">
        <v>7</v>
      </c>
      <c r="L130">
        <v>1777550680</v>
      </c>
      <c r="M130">
        <v>3137790</v>
      </c>
      <c r="N130">
        <v>566.5</v>
      </c>
      <c r="O130">
        <v>35915</v>
      </c>
      <c r="P130">
        <v>658</v>
      </c>
      <c r="Q130">
        <v>283</v>
      </c>
      <c r="R130" t="s">
        <v>1992</v>
      </c>
      <c r="S130" t="s">
        <v>1993</v>
      </c>
      <c r="T130" t="s">
        <v>1994</v>
      </c>
      <c r="U130" t="s">
        <v>2011</v>
      </c>
    </row>
    <row r="131" spans="1:21">
      <c r="A131" t="s">
        <v>3322</v>
      </c>
      <c r="B131" t="s">
        <v>3322</v>
      </c>
      <c r="C131" t="s">
        <v>3323</v>
      </c>
      <c r="D131" t="s">
        <v>3324</v>
      </c>
      <c r="E131" t="s">
        <v>1982</v>
      </c>
      <c r="F131" t="s">
        <v>204</v>
      </c>
      <c r="G131" t="s">
        <v>1991</v>
      </c>
      <c r="H131">
        <v>5092</v>
      </c>
      <c r="I131">
        <v>104</v>
      </c>
      <c r="J131">
        <v>391</v>
      </c>
      <c r="K131">
        <v>5</v>
      </c>
      <c r="L131">
        <v>1556503906</v>
      </c>
      <c r="M131">
        <v>2701533</v>
      </c>
      <c r="N131">
        <v>576.16</v>
      </c>
      <c r="O131">
        <v>60017</v>
      </c>
      <c r="P131">
        <v>696</v>
      </c>
      <c r="Q131">
        <v>265</v>
      </c>
      <c r="R131" t="s">
        <v>1992</v>
      </c>
      <c r="S131" t="s">
        <v>1993</v>
      </c>
      <c r="T131" t="s">
        <v>1994</v>
      </c>
      <c r="U131" t="s">
        <v>2289</v>
      </c>
    </row>
    <row r="132" spans="1:21">
      <c r="A132" t="s">
        <v>3386</v>
      </c>
      <c r="B132" t="s">
        <v>3386</v>
      </c>
      <c r="C132" t="s">
        <v>3387</v>
      </c>
      <c r="D132" t="s">
        <v>3388</v>
      </c>
      <c r="E132" t="s">
        <v>1982</v>
      </c>
      <c r="F132" t="s">
        <v>204</v>
      </c>
      <c r="G132" t="s">
        <v>1991</v>
      </c>
      <c r="H132">
        <v>4026</v>
      </c>
      <c r="I132">
        <v>85</v>
      </c>
      <c r="J132">
        <v>1474</v>
      </c>
      <c r="K132">
        <v>7</v>
      </c>
      <c r="L132">
        <v>1848371826</v>
      </c>
      <c r="M132">
        <v>2272848</v>
      </c>
      <c r="N132">
        <v>813.24</v>
      </c>
      <c r="O132">
        <v>32796</v>
      </c>
      <c r="P132">
        <v>1194</v>
      </c>
      <c r="Q132">
        <v>344</v>
      </c>
      <c r="R132" t="s">
        <v>1992</v>
      </c>
      <c r="S132" t="s">
        <v>1993</v>
      </c>
      <c r="T132" t="s">
        <v>1994</v>
      </c>
      <c r="U132" t="s">
        <v>2011</v>
      </c>
    </row>
    <row r="133" spans="1:21">
      <c r="A133" t="s">
        <v>3377</v>
      </c>
      <c r="B133" t="s">
        <v>3377</v>
      </c>
      <c r="C133" t="s">
        <v>3378</v>
      </c>
      <c r="D133" t="s">
        <v>3379</v>
      </c>
      <c r="E133" t="s">
        <v>1982</v>
      </c>
      <c r="F133" t="s">
        <v>204</v>
      </c>
      <c r="G133" t="s">
        <v>1991</v>
      </c>
      <c r="H133">
        <v>5073</v>
      </c>
      <c r="I133">
        <v>61</v>
      </c>
      <c r="J133">
        <v>458</v>
      </c>
      <c r="K133">
        <v>0</v>
      </c>
      <c r="L133">
        <v>804976690</v>
      </c>
      <c r="M133">
        <v>1135654</v>
      </c>
      <c r="N133">
        <v>708.82</v>
      </c>
      <c r="O133">
        <v>56804</v>
      </c>
      <c r="P133">
        <v>1155</v>
      </c>
      <c r="Q133">
        <v>283</v>
      </c>
      <c r="R133" t="s">
        <v>1992</v>
      </c>
      <c r="S133" t="s">
        <v>1993</v>
      </c>
      <c r="T133" t="s">
        <v>1994</v>
      </c>
      <c r="U133" t="s">
        <v>2011</v>
      </c>
    </row>
    <row r="134" spans="1:21">
      <c r="A134" t="s">
        <v>3395</v>
      </c>
      <c r="B134" t="s">
        <v>3395</v>
      </c>
      <c r="C134" t="s">
        <v>3396</v>
      </c>
      <c r="D134" t="s">
        <v>3397</v>
      </c>
      <c r="E134" t="s">
        <v>1982</v>
      </c>
      <c r="F134" t="s">
        <v>204</v>
      </c>
      <c r="G134" t="s">
        <v>1991</v>
      </c>
      <c r="H134">
        <v>2731</v>
      </c>
      <c r="I134">
        <v>1740</v>
      </c>
      <c r="J134">
        <v>1120</v>
      </c>
      <c r="K134">
        <v>1</v>
      </c>
      <c r="L134">
        <v>1722837952</v>
      </c>
      <c r="M134">
        <v>2141787</v>
      </c>
      <c r="N134">
        <v>804.39</v>
      </c>
      <c r="O134">
        <v>38601</v>
      </c>
      <c r="P134">
        <v>1422</v>
      </c>
      <c r="Q134">
        <v>310</v>
      </c>
      <c r="R134" t="s">
        <v>1992</v>
      </c>
      <c r="S134" t="s">
        <v>1993</v>
      </c>
      <c r="T134" t="s">
        <v>1994</v>
      </c>
      <c r="U134" t="s">
        <v>31</v>
      </c>
    </row>
    <row r="135" spans="1:21">
      <c r="A135" t="s">
        <v>3401</v>
      </c>
      <c r="B135" t="s">
        <v>3401</v>
      </c>
      <c r="C135" t="s">
        <v>3402</v>
      </c>
      <c r="D135" t="s">
        <v>3403</v>
      </c>
      <c r="E135" t="s">
        <v>1982</v>
      </c>
      <c r="F135" t="s">
        <v>204</v>
      </c>
      <c r="G135" t="s">
        <v>1991</v>
      </c>
      <c r="H135">
        <v>2061</v>
      </c>
      <c r="I135">
        <v>2596</v>
      </c>
      <c r="J135">
        <v>934</v>
      </c>
      <c r="K135">
        <v>1</v>
      </c>
      <c r="L135">
        <v>1813589239</v>
      </c>
      <c r="M135">
        <v>2085231</v>
      </c>
      <c r="N135">
        <v>869.73</v>
      </c>
      <c r="O135">
        <v>88168</v>
      </c>
      <c r="P135">
        <v>1882</v>
      </c>
      <c r="Q135">
        <v>305</v>
      </c>
      <c r="R135" t="s">
        <v>1992</v>
      </c>
      <c r="S135" t="s">
        <v>1993</v>
      </c>
      <c r="T135" t="s">
        <v>1994</v>
      </c>
      <c r="U135" t="s">
        <v>31</v>
      </c>
    </row>
    <row r="136" spans="1:21">
      <c r="A136" t="s">
        <v>3368</v>
      </c>
      <c r="B136" t="s">
        <v>3368</v>
      </c>
      <c r="C136" t="s">
        <v>3369</v>
      </c>
      <c r="D136" t="s">
        <v>3370</v>
      </c>
      <c r="E136" t="s">
        <v>1987</v>
      </c>
      <c r="F136" t="s">
        <v>204</v>
      </c>
      <c r="G136" t="s">
        <v>1991</v>
      </c>
      <c r="H136">
        <v>4113</v>
      </c>
      <c r="I136">
        <v>446</v>
      </c>
      <c r="J136">
        <v>1024</v>
      </c>
      <c r="K136">
        <v>9</v>
      </c>
      <c r="L136">
        <v>1621635953</v>
      </c>
      <c r="M136">
        <v>2888193</v>
      </c>
      <c r="N136">
        <v>561.47</v>
      </c>
      <c r="O136">
        <v>53473</v>
      </c>
      <c r="P136">
        <v>768</v>
      </c>
      <c r="Q136">
        <v>244</v>
      </c>
      <c r="R136" t="s">
        <v>1992</v>
      </c>
      <c r="S136" t="s">
        <v>1993</v>
      </c>
      <c r="T136" t="s">
        <v>1994</v>
      </c>
      <c r="U136" t="s">
        <v>2011</v>
      </c>
    </row>
    <row r="137" spans="1:21">
      <c r="A137" t="s">
        <v>3398</v>
      </c>
      <c r="B137" t="s">
        <v>3398</v>
      </c>
      <c r="C137" t="s">
        <v>3399</v>
      </c>
      <c r="D137" t="s">
        <v>3400</v>
      </c>
      <c r="E137" t="s">
        <v>1982</v>
      </c>
      <c r="F137" t="s">
        <v>204</v>
      </c>
      <c r="G137" t="s">
        <v>1991</v>
      </c>
      <c r="H137">
        <v>5182</v>
      </c>
      <c r="I137">
        <v>165</v>
      </c>
      <c r="J137">
        <v>240</v>
      </c>
      <c r="K137">
        <v>5</v>
      </c>
      <c r="L137">
        <v>1408451136</v>
      </c>
      <c r="M137">
        <v>2298323</v>
      </c>
      <c r="N137">
        <v>612.82000000000005</v>
      </c>
      <c r="O137">
        <v>60511</v>
      </c>
      <c r="P137">
        <v>867</v>
      </c>
      <c r="Q137">
        <v>257</v>
      </c>
      <c r="R137" t="s">
        <v>1992</v>
      </c>
      <c r="S137" t="s">
        <v>1993</v>
      </c>
      <c r="T137" t="s">
        <v>1994</v>
      </c>
      <c r="U137" t="s">
        <v>31</v>
      </c>
    </row>
    <row r="138" spans="1:21">
      <c r="A138" t="s">
        <v>3374</v>
      </c>
      <c r="B138" t="s">
        <v>3374</v>
      </c>
      <c r="C138" t="s">
        <v>3375</v>
      </c>
      <c r="D138" t="s">
        <v>3376</v>
      </c>
      <c r="E138" t="s">
        <v>1987</v>
      </c>
      <c r="F138" t="s">
        <v>204</v>
      </c>
      <c r="G138" t="s">
        <v>1991</v>
      </c>
      <c r="H138">
        <v>3952</v>
      </c>
      <c r="I138">
        <v>124</v>
      </c>
      <c r="J138">
        <v>1506</v>
      </c>
      <c r="K138">
        <v>10</v>
      </c>
      <c r="L138">
        <v>1167841214</v>
      </c>
      <c r="M138">
        <v>1985493</v>
      </c>
      <c r="N138">
        <v>588.19000000000005</v>
      </c>
      <c r="O138">
        <v>61137</v>
      </c>
      <c r="P138">
        <v>670</v>
      </c>
      <c r="Q138">
        <v>302</v>
      </c>
      <c r="R138" t="s">
        <v>1992</v>
      </c>
      <c r="S138" t="s">
        <v>1993</v>
      </c>
      <c r="T138" t="s">
        <v>1994</v>
      </c>
      <c r="U138" t="s">
        <v>2011</v>
      </c>
    </row>
    <row r="139" spans="1:21">
      <c r="A139" t="s">
        <v>2930</v>
      </c>
      <c r="B139" t="s">
        <v>2930</v>
      </c>
      <c r="C139" t="s">
        <v>2931</v>
      </c>
      <c r="D139" t="s">
        <v>2932</v>
      </c>
      <c r="E139" t="s">
        <v>1987</v>
      </c>
      <c r="F139" t="s">
        <v>204</v>
      </c>
      <c r="G139" t="s">
        <v>1991</v>
      </c>
      <c r="H139">
        <v>5308</v>
      </c>
      <c r="I139">
        <v>103</v>
      </c>
      <c r="J139">
        <v>174</v>
      </c>
      <c r="K139">
        <v>7</v>
      </c>
      <c r="L139">
        <v>896770966</v>
      </c>
      <c r="M139">
        <v>1301105</v>
      </c>
      <c r="N139">
        <v>689.24</v>
      </c>
      <c r="O139">
        <v>97984</v>
      </c>
      <c r="P139">
        <v>1801</v>
      </c>
      <c r="Q139">
        <v>254</v>
      </c>
      <c r="R139" t="s">
        <v>1992</v>
      </c>
      <c r="S139" t="s">
        <v>1993</v>
      </c>
      <c r="T139" t="s">
        <v>1994</v>
      </c>
      <c r="U139" t="s">
        <v>1995</v>
      </c>
    </row>
    <row r="140" spans="1:21">
      <c r="A140" t="s">
        <v>2927</v>
      </c>
      <c r="B140" t="s">
        <v>2927</v>
      </c>
      <c r="C140" t="s">
        <v>2928</v>
      </c>
      <c r="D140" t="s">
        <v>2929</v>
      </c>
      <c r="E140" t="s">
        <v>1987</v>
      </c>
      <c r="F140" t="s">
        <v>204</v>
      </c>
      <c r="G140" t="s">
        <v>1991</v>
      </c>
      <c r="H140">
        <v>4901</v>
      </c>
      <c r="I140">
        <v>255</v>
      </c>
      <c r="J140">
        <v>432</v>
      </c>
      <c r="K140">
        <v>4</v>
      </c>
      <c r="L140">
        <v>913951136</v>
      </c>
      <c r="M140">
        <v>1494752</v>
      </c>
      <c r="N140">
        <v>611.44000000000005</v>
      </c>
      <c r="O140">
        <v>68343</v>
      </c>
      <c r="P140">
        <v>1041</v>
      </c>
      <c r="Q140">
        <v>251</v>
      </c>
      <c r="R140" t="s">
        <v>1992</v>
      </c>
      <c r="S140" t="s">
        <v>1993</v>
      </c>
      <c r="T140" t="s">
        <v>1994</v>
      </c>
      <c r="U140" t="s">
        <v>2284</v>
      </c>
    </row>
    <row r="141" spans="1:21">
      <c r="A141" t="s">
        <v>2874</v>
      </c>
      <c r="B141" t="s">
        <v>2874</v>
      </c>
      <c r="C141" t="s">
        <v>2875</v>
      </c>
      <c r="D141" t="s">
        <v>2876</v>
      </c>
      <c r="E141" t="s">
        <v>1982</v>
      </c>
      <c r="F141" t="s">
        <v>204</v>
      </c>
      <c r="G141" t="s">
        <v>1991</v>
      </c>
      <c r="H141">
        <v>3010</v>
      </c>
      <c r="I141">
        <v>70</v>
      </c>
      <c r="J141">
        <v>2500</v>
      </c>
      <c r="K141">
        <v>12</v>
      </c>
      <c r="L141">
        <v>1460488684</v>
      </c>
      <c r="M141">
        <v>2526717</v>
      </c>
      <c r="N141">
        <v>578.02</v>
      </c>
      <c r="O141">
        <v>86275</v>
      </c>
      <c r="P141">
        <v>679</v>
      </c>
      <c r="Q141">
        <v>286</v>
      </c>
      <c r="R141" t="s">
        <v>1992</v>
      </c>
      <c r="S141" t="s">
        <v>1993</v>
      </c>
      <c r="T141" t="s">
        <v>1994</v>
      </c>
      <c r="U141" t="s">
        <v>2284</v>
      </c>
    </row>
    <row r="142" spans="1:21">
      <c r="A142" t="s">
        <v>2933</v>
      </c>
      <c r="B142" t="s">
        <v>2933</v>
      </c>
      <c r="C142" t="s">
        <v>2934</v>
      </c>
      <c r="D142" t="s">
        <v>2935</v>
      </c>
      <c r="E142" t="s">
        <v>1987</v>
      </c>
      <c r="F142" t="s">
        <v>204</v>
      </c>
      <c r="G142" t="s">
        <v>1991</v>
      </c>
      <c r="H142">
        <v>5317</v>
      </c>
      <c r="I142">
        <v>112</v>
      </c>
      <c r="J142">
        <v>152</v>
      </c>
      <c r="K142">
        <v>11</v>
      </c>
      <c r="L142">
        <v>859129051</v>
      </c>
      <c r="M142">
        <v>1176810</v>
      </c>
      <c r="N142">
        <v>730.05</v>
      </c>
      <c r="O142">
        <v>131285</v>
      </c>
      <c r="P142">
        <v>2409</v>
      </c>
      <c r="Q142">
        <v>259</v>
      </c>
      <c r="R142" t="s">
        <v>1992</v>
      </c>
      <c r="S142" t="s">
        <v>1993</v>
      </c>
      <c r="T142" t="s">
        <v>1994</v>
      </c>
      <c r="U142" t="s">
        <v>1995</v>
      </c>
    </row>
    <row r="143" spans="1:21">
      <c r="A143" t="s">
        <v>2837</v>
      </c>
      <c r="B143" t="s">
        <v>2837</v>
      </c>
      <c r="C143" t="s">
        <v>2838</v>
      </c>
      <c r="D143" t="s">
        <v>2839</v>
      </c>
      <c r="E143" t="s">
        <v>1982</v>
      </c>
      <c r="F143" t="s">
        <v>204</v>
      </c>
      <c r="G143" t="s">
        <v>1991</v>
      </c>
      <c r="H143">
        <v>5007</v>
      </c>
      <c r="I143">
        <v>115</v>
      </c>
      <c r="J143">
        <v>469</v>
      </c>
      <c r="K143">
        <v>1</v>
      </c>
      <c r="L143">
        <v>1009570242</v>
      </c>
      <c r="M143">
        <v>1469500</v>
      </c>
      <c r="N143">
        <v>687.02</v>
      </c>
      <c r="O143">
        <v>49408</v>
      </c>
      <c r="P143">
        <v>801</v>
      </c>
      <c r="Q143">
        <v>320</v>
      </c>
      <c r="R143" t="s">
        <v>1992</v>
      </c>
      <c r="S143" t="s">
        <v>1993</v>
      </c>
      <c r="T143" t="s">
        <v>1994</v>
      </c>
      <c r="U143" t="s">
        <v>1998</v>
      </c>
    </row>
    <row r="144" spans="1:21">
      <c r="A144" t="s">
        <v>2834</v>
      </c>
      <c r="B144" t="s">
        <v>2834</v>
      </c>
      <c r="C144" t="s">
        <v>2835</v>
      </c>
      <c r="D144" t="s">
        <v>2836</v>
      </c>
      <c r="E144" t="s">
        <v>1982</v>
      </c>
      <c r="F144" t="s">
        <v>204</v>
      </c>
      <c r="G144" t="s">
        <v>1991</v>
      </c>
      <c r="H144">
        <v>4448</v>
      </c>
      <c r="I144">
        <v>488</v>
      </c>
      <c r="J144">
        <v>653</v>
      </c>
      <c r="K144">
        <v>3</v>
      </c>
      <c r="L144">
        <v>890558368</v>
      </c>
      <c r="M144">
        <v>1086279</v>
      </c>
      <c r="N144">
        <v>819.82</v>
      </c>
      <c r="O144">
        <v>50941</v>
      </c>
      <c r="P144">
        <v>1251</v>
      </c>
      <c r="Q144">
        <v>331</v>
      </c>
      <c r="R144" t="s">
        <v>1992</v>
      </c>
      <c r="S144" t="s">
        <v>1993</v>
      </c>
      <c r="T144" t="s">
        <v>1994</v>
      </c>
      <c r="U144" t="s">
        <v>1998</v>
      </c>
    </row>
    <row r="145" spans="1:21">
      <c r="A145" t="s">
        <v>2828</v>
      </c>
      <c r="B145" t="s">
        <v>2828</v>
      </c>
      <c r="C145" t="s">
        <v>2829</v>
      </c>
      <c r="D145" t="s">
        <v>2830</v>
      </c>
      <c r="E145" t="s">
        <v>1987</v>
      </c>
      <c r="F145" t="s">
        <v>204</v>
      </c>
      <c r="G145" t="s">
        <v>1991</v>
      </c>
      <c r="H145">
        <v>3295</v>
      </c>
      <c r="I145">
        <v>1058</v>
      </c>
      <c r="J145">
        <v>1235</v>
      </c>
      <c r="K145">
        <v>4</v>
      </c>
      <c r="L145">
        <v>1091892204</v>
      </c>
      <c r="M145">
        <v>1516297</v>
      </c>
      <c r="N145">
        <v>720.1</v>
      </c>
      <c r="O145">
        <v>129605</v>
      </c>
      <c r="P145">
        <v>1293</v>
      </c>
      <c r="Q145">
        <v>282</v>
      </c>
      <c r="R145" t="s">
        <v>1992</v>
      </c>
      <c r="S145" t="s">
        <v>1993</v>
      </c>
      <c r="T145" t="s">
        <v>1994</v>
      </c>
      <c r="U145" t="s">
        <v>1998</v>
      </c>
    </row>
    <row r="146" spans="1:21">
      <c r="A146" t="s">
        <v>2808</v>
      </c>
      <c r="B146" t="s">
        <v>2808</v>
      </c>
      <c r="C146" t="s">
        <v>2809</v>
      </c>
      <c r="D146" t="s">
        <v>2810</v>
      </c>
      <c r="E146" t="s">
        <v>1982</v>
      </c>
      <c r="F146" t="s">
        <v>204</v>
      </c>
      <c r="G146" t="s">
        <v>1991</v>
      </c>
      <c r="H146">
        <v>2224</v>
      </c>
      <c r="I146">
        <v>1201</v>
      </c>
      <c r="J146">
        <v>2165</v>
      </c>
      <c r="K146">
        <v>2</v>
      </c>
      <c r="L146">
        <v>1633171397</v>
      </c>
      <c r="M146">
        <v>2404913</v>
      </c>
      <c r="N146">
        <v>679.1</v>
      </c>
      <c r="O146">
        <v>52883</v>
      </c>
      <c r="P146">
        <v>854</v>
      </c>
      <c r="Q146">
        <v>324</v>
      </c>
      <c r="R146" t="s">
        <v>1992</v>
      </c>
      <c r="S146" t="s">
        <v>1993</v>
      </c>
      <c r="T146" t="s">
        <v>1994</v>
      </c>
      <c r="U146" t="s">
        <v>1998</v>
      </c>
    </row>
    <row r="147" spans="1:21">
      <c r="A147" t="s">
        <v>2801</v>
      </c>
      <c r="B147" t="s">
        <v>2801</v>
      </c>
      <c r="C147" t="s">
        <v>2802</v>
      </c>
      <c r="D147" t="s">
        <v>2803</v>
      </c>
      <c r="E147" t="s">
        <v>1982</v>
      </c>
      <c r="F147" t="s">
        <v>204</v>
      </c>
      <c r="G147" t="s">
        <v>1991</v>
      </c>
      <c r="H147">
        <v>1641</v>
      </c>
      <c r="I147">
        <v>2913</v>
      </c>
      <c r="J147">
        <v>1035</v>
      </c>
      <c r="K147">
        <v>3</v>
      </c>
      <c r="L147">
        <v>1610235190</v>
      </c>
      <c r="M147">
        <v>1740635</v>
      </c>
      <c r="N147">
        <v>925.08</v>
      </c>
      <c r="O147">
        <v>79912</v>
      </c>
      <c r="P147">
        <v>2469</v>
      </c>
      <c r="Q147">
        <v>292</v>
      </c>
      <c r="R147" t="s">
        <v>1992</v>
      </c>
      <c r="S147" t="s">
        <v>1993</v>
      </c>
      <c r="T147" t="s">
        <v>1994</v>
      </c>
      <c r="U147" t="s">
        <v>1998</v>
      </c>
    </row>
    <row r="148" spans="1:21">
      <c r="A148" t="s">
        <v>2856</v>
      </c>
      <c r="B148" t="s">
        <v>2856</v>
      </c>
      <c r="C148" t="s">
        <v>2857</v>
      </c>
      <c r="D148" t="s">
        <v>2858</v>
      </c>
      <c r="E148" t="s">
        <v>1987</v>
      </c>
      <c r="F148" t="s">
        <v>204</v>
      </c>
      <c r="G148" t="s">
        <v>1991</v>
      </c>
      <c r="H148">
        <v>3159</v>
      </c>
      <c r="I148">
        <v>1077</v>
      </c>
      <c r="J148">
        <v>1352</v>
      </c>
      <c r="K148">
        <v>4</v>
      </c>
      <c r="L148">
        <v>1102252962</v>
      </c>
      <c r="M148">
        <v>1525731</v>
      </c>
      <c r="N148">
        <v>722.44</v>
      </c>
      <c r="O148">
        <v>113917</v>
      </c>
      <c r="P148">
        <v>1278</v>
      </c>
      <c r="Q148">
        <v>282</v>
      </c>
      <c r="R148" t="s">
        <v>1992</v>
      </c>
      <c r="S148" t="s">
        <v>1993</v>
      </c>
      <c r="T148" t="s">
        <v>1994</v>
      </c>
      <c r="U148" t="s">
        <v>1998</v>
      </c>
    </row>
    <row r="149" spans="1:21">
      <c r="A149" t="s">
        <v>2849</v>
      </c>
      <c r="B149" t="s">
        <v>2849</v>
      </c>
      <c r="C149" t="s">
        <v>2850</v>
      </c>
      <c r="D149" t="s">
        <v>2851</v>
      </c>
      <c r="E149" t="s">
        <v>1982</v>
      </c>
      <c r="F149" t="s">
        <v>204</v>
      </c>
      <c r="G149" t="s">
        <v>1991</v>
      </c>
      <c r="H149">
        <v>3034</v>
      </c>
      <c r="I149">
        <v>1303</v>
      </c>
      <c r="J149">
        <v>1252</v>
      </c>
      <c r="K149">
        <v>3</v>
      </c>
      <c r="L149">
        <v>2201614393</v>
      </c>
      <c r="M149">
        <v>3877813</v>
      </c>
      <c r="N149">
        <v>567.75</v>
      </c>
      <c r="O149">
        <v>55214</v>
      </c>
      <c r="P149">
        <v>803</v>
      </c>
      <c r="Q149">
        <v>246</v>
      </c>
      <c r="R149" t="s">
        <v>1992</v>
      </c>
      <c r="S149" t="s">
        <v>1993</v>
      </c>
      <c r="T149" t="s">
        <v>1994</v>
      </c>
      <c r="U149" t="s">
        <v>1998</v>
      </c>
    </row>
    <row r="150" spans="1:21">
      <c r="A150" t="s">
        <v>2788</v>
      </c>
      <c r="B150" t="s">
        <v>2788</v>
      </c>
      <c r="C150" t="s">
        <v>2789</v>
      </c>
      <c r="D150" t="s">
        <v>2790</v>
      </c>
      <c r="E150" t="s">
        <v>1982</v>
      </c>
      <c r="F150" t="s">
        <v>204</v>
      </c>
      <c r="G150" t="s">
        <v>1991</v>
      </c>
      <c r="H150">
        <v>2947</v>
      </c>
      <c r="I150">
        <v>1294</v>
      </c>
      <c r="J150">
        <v>1346</v>
      </c>
      <c r="K150">
        <v>5</v>
      </c>
      <c r="L150">
        <v>1439357192</v>
      </c>
      <c r="M150">
        <v>2097842</v>
      </c>
      <c r="N150">
        <v>686.11</v>
      </c>
      <c r="O150">
        <v>53499</v>
      </c>
      <c r="P150">
        <v>1198</v>
      </c>
      <c r="Q150">
        <v>278</v>
      </c>
      <c r="R150" t="s">
        <v>1992</v>
      </c>
      <c r="S150" t="s">
        <v>1993</v>
      </c>
      <c r="T150" t="s">
        <v>1994</v>
      </c>
      <c r="U150" t="s">
        <v>1998</v>
      </c>
    </row>
    <row r="151" spans="1:21">
      <c r="A151" t="s">
        <v>2767</v>
      </c>
      <c r="B151" t="s">
        <v>2767</v>
      </c>
      <c r="C151" t="s">
        <v>2768</v>
      </c>
      <c r="D151" t="s">
        <v>2769</v>
      </c>
      <c r="E151" t="s">
        <v>1987</v>
      </c>
      <c r="F151" t="s">
        <v>204</v>
      </c>
      <c r="G151" t="s">
        <v>1991</v>
      </c>
      <c r="H151">
        <v>2569</v>
      </c>
      <c r="I151">
        <v>1484</v>
      </c>
      <c r="J151">
        <v>1535</v>
      </c>
      <c r="K151">
        <v>4</v>
      </c>
      <c r="L151">
        <v>1336385994</v>
      </c>
      <c r="M151">
        <v>1961966</v>
      </c>
      <c r="N151">
        <v>681.15</v>
      </c>
      <c r="O151">
        <v>47433</v>
      </c>
      <c r="P151">
        <v>1201</v>
      </c>
      <c r="Q151">
        <v>277</v>
      </c>
      <c r="R151" t="s">
        <v>1992</v>
      </c>
      <c r="S151" t="s">
        <v>1993</v>
      </c>
      <c r="T151" t="s">
        <v>1994</v>
      </c>
      <c r="U151" t="s">
        <v>1998</v>
      </c>
    </row>
    <row r="152" spans="1:21">
      <c r="A152" t="s">
        <v>2764</v>
      </c>
      <c r="B152" t="s">
        <v>2764</v>
      </c>
      <c r="C152" t="s">
        <v>2765</v>
      </c>
      <c r="D152" t="s">
        <v>2766</v>
      </c>
      <c r="E152" t="s">
        <v>1982</v>
      </c>
      <c r="F152" t="s">
        <v>204</v>
      </c>
      <c r="G152" t="s">
        <v>1991</v>
      </c>
      <c r="H152">
        <v>2331</v>
      </c>
      <c r="I152">
        <v>1165</v>
      </c>
      <c r="J152">
        <v>2093</v>
      </c>
      <c r="K152">
        <v>3</v>
      </c>
      <c r="L152">
        <v>1451616357</v>
      </c>
      <c r="M152">
        <v>1931928</v>
      </c>
      <c r="N152">
        <v>751.38</v>
      </c>
      <c r="O152">
        <v>57917</v>
      </c>
      <c r="P152">
        <v>988</v>
      </c>
      <c r="Q152">
        <v>346</v>
      </c>
      <c r="R152" t="s">
        <v>1992</v>
      </c>
      <c r="S152" t="s">
        <v>1993</v>
      </c>
      <c r="T152" t="s">
        <v>1994</v>
      </c>
      <c r="U152" t="s">
        <v>1998</v>
      </c>
    </row>
    <row r="153" spans="1:21">
      <c r="A153" t="s">
        <v>2729</v>
      </c>
      <c r="B153" t="s">
        <v>2729</v>
      </c>
      <c r="C153" t="s">
        <v>2730</v>
      </c>
      <c r="D153" t="s">
        <v>2731</v>
      </c>
      <c r="E153" t="s">
        <v>1982</v>
      </c>
      <c r="F153" t="s">
        <v>204</v>
      </c>
      <c r="G153" t="s">
        <v>1991</v>
      </c>
      <c r="H153">
        <v>5101</v>
      </c>
      <c r="I153">
        <v>122</v>
      </c>
      <c r="J153">
        <v>357</v>
      </c>
      <c r="K153">
        <v>12</v>
      </c>
      <c r="L153">
        <v>2186729021</v>
      </c>
      <c r="M153">
        <v>3858117</v>
      </c>
      <c r="N153">
        <v>566.79</v>
      </c>
      <c r="O153">
        <v>55337</v>
      </c>
      <c r="P153">
        <v>696</v>
      </c>
      <c r="Q153">
        <v>253</v>
      </c>
      <c r="R153" t="s">
        <v>1992</v>
      </c>
      <c r="S153" t="s">
        <v>1993</v>
      </c>
      <c r="T153" t="s">
        <v>1994</v>
      </c>
      <c r="U153" t="s">
        <v>2636</v>
      </c>
    </row>
    <row r="154" spans="1:21">
      <c r="A154" t="s">
        <v>2773</v>
      </c>
      <c r="B154" t="s">
        <v>2773</v>
      </c>
      <c r="C154" t="s">
        <v>2774</v>
      </c>
      <c r="D154" t="s">
        <v>2775</v>
      </c>
      <c r="E154" t="s">
        <v>1982</v>
      </c>
      <c r="F154" t="s">
        <v>204</v>
      </c>
      <c r="G154" t="s">
        <v>1991</v>
      </c>
      <c r="H154">
        <v>3523</v>
      </c>
      <c r="I154">
        <v>1223</v>
      </c>
      <c r="J154">
        <v>842</v>
      </c>
      <c r="K154">
        <v>4</v>
      </c>
      <c r="L154">
        <v>1610056085</v>
      </c>
      <c r="M154">
        <v>2592576</v>
      </c>
      <c r="N154">
        <v>621.03</v>
      </c>
      <c r="O154">
        <v>80863</v>
      </c>
      <c r="P154">
        <v>1052</v>
      </c>
      <c r="Q154">
        <v>255</v>
      </c>
      <c r="R154" t="s">
        <v>1992</v>
      </c>
      <c r="S154" t="s">
        <v>1993</v>
      </c>
      <c r="T154" t="s">
        <v>1994</v>
      </c>
      <c r="U154" t="s">
        <v>1998</v>
      </c>
    </row>
    <row r="155" spans="1:21">
      <c r="A155" t="s">
        <v>2776</v>
      </c>
      <c r="B155" t="s">
        <v>2776</v>
      </c>
      <c r="C155" t="s">
        <v>2777</v>
      </c>
      <c r="D155" t="s">
        <v>2778</v>
      </c>
      <c r="E155" t="s">
        <v>1987</v>
      </c>
      <c r="F155" t="s">
        <v>204</v>
      </c>
      <c r="G155" t="s">
        <v>1991</v>
      </c>
      <c r="H155">
        <v>3643</v>
      </c>
      <c r="I155">
        <v>1308</v>
      </c>
      <c r="J155">
        <v>638</v>
      </c>
      <c r="K155">
        <v>3</v>
      </c>
      <c r="L155">
        <v>1412926508</v>
      </c>
      <c r="M155">
        <v>2049252</v>
      </c>
      <c r="N155">
        <v>689.48</v>
      </c>
      <c r="O155">
        <v>52783</v>
      </c>
      <c r="P155">
        <v>1021</v>
      </c>
      <c r="Q155">
        <v>283</v>
      </c>
      <c r="R155" t="s">
        <v>1992</v>
      </c>
      <c r="S155" t="s">
        <v>1993</v>
      </c>
      <c r="T155" t="s">
        <v>1994</v>
      </c>
      <c r="U155" t="s">
        <v>1998</v>
      </c>
    </row>
    <row r="156" spans="1:21">
      <c r="A156" t="s">
        <v>2782</v>
      </c>
      <c r="B156" t="s">
        <v>2782</v>
      </c>
      <c r="C156" t="s">
        <v>2783</v>
      </c>
      <c r="D156" t="s">
        <v>2784</v>
      </c>
      <c r="E156" t="s">
        <v>1982</v>
      </c>
      <c r="F156" t="s">
        <v>204</v>
      </c>
      <c r="G156" t="s">
        <v>1991</v>
      </c>
      <c r="H156">
        <v>1426</v>
      </c>
      <c r="I156">
        <v>3263</v>
      </c>
      <c r="J156">
        <v>899</v>
      </c>
      <c r="K156">
        <v>4</v>
      </c>
      <c r="L156">
        <v>1927002018</v>
      </c>
      <c r="M156">
        <v>2473250</v>
      </c>
      <c r="N156">
        <v>779.14</v>
      </c>
      <c r="O156">
        <v>54790</v>
      </c>
      <c r="P156">
        <v>1853</v>
      </c>
      <c r="Q156">
        <v>283</v>
      </c>
      <c r="R156" t="s">
        <v>1992</v>
      </c>
      <c r="S156" t="s">
        <v>1993</v>
      </c>
      <c r="T156" t="s">
        <v>1994</v>
      </c>
      <c r="U156" t="s">
        <v>1998</v>
      </c>
    </row>
    <row r="157" spans="1:21">
      <c r="A157" t="s">
        <v>3300</v>
      </c>
      <c r="B157" t="s">
        <v>3300</v>
      </c>
      <c r="C157" t="s">
        <v>3301</v>
      </c>
      <c r="D157" t="s">
        <v>3302</v>
      </c>
      <c r="E157" t="s">
        <v>1987</v>
      </c>
      <c r="F157" t="s">
        <v>204</v>
      </c>
      <c r="G157" t="s">
        <v>1991</v>
      </c>
      <c r="H157">
        <v>3212</v>
      </c>
      <c r="I157">
        <v>846</v>
      </c>
      <c r="J157">
        <v>1530</v>
      </c>
      <c r="K157">
        <v>4</v>
      </c>
      <c r="L157">
        <v>3648049235</v>
      </c>
      <c r="M157">
        <v>5697857</v>
      </c>
      <c r="N157">
        <v>640.25</v>
      </c>
      <c r="O157">
        <v>107400</v>
      </c>
      <c r="P157">
        <v>784</v>
      </c>
      <c r="Q157">
        <v>310</v>
      </c>
      <c r="R157" t="s">
        <v>1992</v>
      </c>
      <c r="S157" t="s">
        <v>1993</v>
      </c>
      <c r="T157" t="s">
        <v>1994</v>
      </c>
      <c r="U157" t="s">
        <v>1998</v>
      </c>
    </row>
    <row r="158" spans="1:21">
      <c r="A158" t="s">
        <v>3290</v>
      </c>
      <c r="B158" t="s">
        <v>3290</v>
      </c>
      <c r="C158" t="s">
        <v>3291</v>
      </c>
      <c r="D158" t="s">
        <v>3292</v>
      </c>
      <c r="E158" t="s">
        <v>1987</v>
      </c>
      <c r="F158" t="s">
        <v>204</v>
      </c>
      <c r="G158" t="s">
        <v>1991</v>
      </c>
      <c r="H158">
        <v>5275</v>
      </c>
      <c r="I158">
        <v>175</v>
      </c>
      <c r="J158">
        <v>136</v>
      </c>
      <c r="K158">
        <v>6</v>
      </c>
      <c r="L158">
        <v>563277470</v>
      </c>
      <c r="M158">
        <v>259072</v>
      </c>
      <c r="N158">
        <v>2174.21</v>
      </c>
      <c r="O158">
        <v>184388</v>
      </c>
      <c r="P158">
        <v>17720</v>
      </c>
      <c r="Q158">
        <v>569</v>
      </c>
      <c r="R158" t="s">
        <v>1992</v>
      </c>
      <c r="S158" t="s">
        <v>1993</v>
      </c>
      <c r="T158" t="s">
        <v>1994</v>
      </c>
      <c r="U158" t="s">
        <v>1998</v>
      </c>
    </row>
    <row r="159" spans="1:21">
      <c r="A159" t="s">
        <v>3240</v>
      </c>
      <c r="B159" t="s">
        <v>3240</v>
      </c>
      <c r="C159" t="s">
        <v>3241</v>
      </c>
      <c r="D159" t="s">
        <v>3242</v>
      </c>
      <c r="E159" t="s">
        <v>1987</v>
      </c>
      <c r="F159" t="s">
        <v>204</v>
      </c>
      <c r="G159" t="s">
        <v>1991</v>
      </c>
      <c r="H159">
        <v>875</v>
      </c>
      <c r="I159">
        <v>3697</v>
      </c>
      <c r="J159">
        <v>1014</v>
      </c>
      <c r="K159">
        <v>6</v>
      </c>
      <c r="L159">
        <v>1188400347</v>
      </c>
      <c r="M159">
        <v>1133121</v>
      </c>
      <c r="N159">
        <v>1048.79</v>
      </c>
      <c r="O159">
        <v>85010</v>
      </c>
      <c r="P159">
        <v>4423</v>
      </c>
      <c r="Q159">
        <v>313</v>
      </c>
      <c r="R159" t="s">
        <v>1992</v>
      </c>
      <c r="S159" t="s">
        <v>1993</v>
      </c>
      <c r="T159" t="s">
        <v>1994</v>
      </c>
      <c r="U159" t="s">
        <v>1998</v>
      </c>
    </row>
    <row r="160" spans="1:21">
      <c r="A160" t="s">
        <v>3249</v>
      </c>
      <c r="B160" t="s">
        <v>3249</v>
      </c>
      <c r="C160" t="s">
        <v>3250</v>
      </c>
      <c r="D160" t="s">
        <v>3251</v>
      </c>
      <c r="E160" t="s">
        <v>1987</v>
      </c>
      <c r="F160" t="s">
        <v>204</v>
      </c>
      <c r="G160" t="s">
        <v>1991</v>
      </c>
      <c r="H160">
        <v>5358</v>
      </c>
      <c r="I160">
        <v>147</v>
      </c>
      <c r="J160">
        <v>82</v>
      </c>
      <c r="K160">
        <v>5</v>
      </c>
      <c r="L160">
        <v>1764276285</v>
      </c>
      <c r="M160">
        <v>1724613</v>
      </c>
      <c r="N160">
        <v>1023</v>
      </c>
      <c r="O160">
        <v>689520</v>
      </c>
      <c r="P160">
        <v>1976</v>
      </c>
      <c r="Q160">
        <v>365</v>
      </c>
      <c r="R160" t="s">
        <v>1992</v>
      </c>
      <c r="S160" t="s">
        <v>1993</v>
      </c>
      <c r="T160" t="s">
        <v>1994</v>
      </c>
      <c r="U160" t="s">
        <v>1998</v>
      </c>
    </row>
    <row r="161" spans="1:21">
      <c r="A161" t="s">
        <v>3197</v>
      </c>
      <c r="B161" t="s">
        <v>3197</v>
      </c>
      <c r="C161" t="s">
        <v>1990</v>
      </c>
      <c r="D161" t="s">
        <v>3198</v>
      </c>
      <c r="E161" t="s">
        <v>1982</v>
      </c>
      <c r="F161" t="s">
        <v>204</v>
      </c>
      <c r="G161" t="s">
        <v>1991</v>
      </c>
      <c r="H161">
        <v>4800</v>
      </c>
      <c r="I161">
        <v>468</v>
      </c>
      <c r="J161">
        <v>323</v>
      </c>
      <c r="K161">
        <v>1</v>
      </c>
      <c r="L161">
        <v>782800315</v>
      </c>
      <c r="M161">
        <v>1094452</v>
      </c>
      <c r="N161">
        <v>715.24</v>
      </c>
      <c r="O161">
        <v>75587</v>
      </c>
      <c r="P161">
        <v>1876</v>
      </c>
      <c r="Q161">
        <v>265</v>
      </c>
      <c r="R161" t="s">
        <v>1992</v>
      </c>
      <c r="S161" t="s">
        <v>1993</v>
      </c>
      <c r="T161" t="s">
        <v>1994</v>
      </c>
      <c r="U161" t="s">
        <v>1995</v>
      </c>
    </row>
    <row r="162" spans="1:21">
      <c r="A162" t="s">
        <v>3252</v>
      </c>
      <c r="B162" t="s">
        <v>3252</v>
      </c>
      <c r="C162" t="s">
        <v>3253</v>
      </c>
      <c r="D162" t="s">
        <v>3254</v>
      </c>
      <c r="E162" t="s">
        <v>2025</v>
      </c>
      <c r="F162" t="s">
        <v>204</v>
      </c>
      <c r="G162" t="s">
        <v>1991</v>
      </c>
      <c r="H162">
        <v>4706</v>
      </c>
      <c r="I162">
        <v>413</v>
      </c>
      <c r="J162">
        <v>465</v>
      </c>
      <c r="K162">
        <v>8</v>
      </c>
      <c r="L162">
        <v>1365289060</v>
      </c>
      <c r="M162">
        <v>2227462</v>
      </c>
      <c r="N162">
        <v>612.92999999999995</v>
      </c>
      <c r="O162">
        <v>229876</v>
      </c>
      <c r="P162">
        <v>847</v>
      </c>
      <c r="Q162">
        <v>260</v>
      </c>
      <c r="R162" t="s">
        <v>1992</v>
      </c>
      <c r="S162" t="s">
        <v>1993</v>
      </c>
      <c r="T162" t="s">
        <v>1994</v>
      </c>
      <c r="U162" t="s">
        <v>1998</v>
      </c>
    </row>
    <row r="163" spans="1:21">
      <c r="A163" t="s">
        <v>3259</v>
      </c>
      <c r="B163" t="s">
        <v>3259</v>
      </c>
      <c r="C163" t="s">
        <v>3260</v>
      </c>
      <c r="D163" t="s">
        <v>3261</v>
      </c>
      <c r="E163" t="s">
        <v>1982</v>
      </c>
      <c r="F163" t="s">
        <v>204</v>
      </c>
      <c r="G163" t="s">
        <v>1991</v>
      </c>
      <c r="H163">
        <v>3701</v>
      </c>
      <c r="I163">
        <v>969</v>
      </c>
      <c r="J163">
        <v>916</v>
      </c>
      <c r="K163">
        <v>6</v>
      </c>
      <c r="L163">
        <v>1718636262</v>
      </c>
      <c r="M163">
        <v>2359084</v>
      </c>
      <c r="N163">
        <v>728.52</v>
      </c>
      <c r="O163">
        <v>175145</v>
      </c>
      <c r="P163">
        <v>1385</v>
      </c>
      <c r="Q163">
        <v>282</v>
      </c>
      <c r="R163" t="s">
        <v>1992</v>
      </c>
      <c r="S163" t="s">
        <v>1993</v>
      </c>
      <c r="T163" t="s">
        <v>1994</v>
      </c>
      <c r="U163" t="s">
        <v>1998</v>
      </c>
    </row>
    <row r="164" spans="1:21">
      <c r="A164" t="s">
        <v>3269</v>
      </c>
      <c r="B164" t="s">
        <v>3269</v>
      </c>
      <c r="C164" t="s">
        <v>3270</v>
      </c>
      <c r="D164" t="s">
        <v>3271</v>
      </c>
      <c r="E164" t="s">
        <v>1982</v>
      </c>
      <c r="F164" t="s">
        <v>204</v>
      </c>
      <c r="G164" t="s">
        <v>1991</v>
      </c>
      <c r="H164">
        <v>4410</v>
      </c>
      <c r="I164">
        <v>588</v>
      </c>
      <c r="J164">
        <v>588</v>
      </c>
      <c r="K164">
        <v>6</v>
      </c>
      <c r="L164">
        <v>1312872639</v>
      </c>
      <c r="M164">
        <v>1999071</v>
      </c>
      <c r="N164">
        <v>656.74</v>
      </c>
      <c r="O164">
        <v>78065</v>
      </c>
      <c r="P164">
        <v>1363</v>
      </c>
      <c r="Q164">
        <v>253</v>
      </c>
      <c r="R164" t="s">
        <v>1992</v>
      </c>
      <c r="S164" t="s">
        <v>1993</v>
      </c>
      <c r="T164" t="s">
        <v>1994</v>
      </c>
      <c r="U164" t="s">
        <v>1998</v>
      </c>
    </row>
    <row r="165" spans="1:21">
      <c r="A165" t="s">
        <v>3191</v>
      </c>
      <c r="B165" t="s">
        <v>3191</v>
      </c>
      <c r="C165" t="s">
        <v>3192</v>
      </c>
      <c r="D165" t="s">
        <v>3193</v>
      </c>
      <c r="E165" t="s">
        <v>1987</v>
      </c>
      <c r="F165" t="s">
        <v>204</v>
      </c>
      <c r="G165" t="s">
        <v>1991</v>
      </c>
      <c r="H165">
        <v>5322</v>
      </c>
      <c r="I165">
        <v>128</v>
      </c>
      <c r="J165">
        <v>134</v>
      </c>
      <c r="K165">
        <v>8</v>
      </c>
      <c r="L165">
        <v>555763877</v>
      </c>
      <c r="M165">
        <v>474933</v>
      </c>
      <c r="N165">
        <v>1170.19</v>
      </c>
      <c r="O165">
        <v>171794</v>
      </c>
      <c r="P165">
        <v>6975</v>
      </c>
      <c r="Q165">
        <v>342</v>
      </c>
      <c r="R165" t="s">
        <v>1992</v>
      </c>
      <c r="S165" t="s">
        <v>1993</v>
      </c>
      <c r="T165" t="s">
        <v>1994</v>
      </c>
      <c r="U165" t="s">
        <v>1998</v>
      </c>
    </row>
    <row r="166" spans="1:21">
      <c r="A166" t="s">
        <v>3313</v>
      </c>
      <c r="B166" t="s">
        <v>3313</v>
      </c>
      <c r="C166" t="s">
        <v>3314</v>
      </c>
      <c r="D166" t="s">
        <v>3315</v>
      </c>
      <c r="E166" t="s">
        <v>1987</v>
      </c>
      <c r="F166" t="s">
        <v>204</v>
      </c>
      <c r="G166" t="s">
        <v>1991</v>
      </c>
      <c r="H166">
        <v>5420</v>
      </c>
      <c r="I166">
        <v>90</v>
      </c>
      <c r="J166">
        <v>76</v>
      </c>
      <c r="K166">
        <v>6</v>
      </c>
      <c r="L166">
        <v>559823109</v>
      </c>
      <c r="M166">
        <v>646482</v>
      </c>
      <c r="N166">
        <v>865.95</v>
      </c>
      <c r="O166">
        <v>232255</v>
      </c>
      <c r="P166">
        <v>1954</v>
      </c>
      <c r="Q166">
        <v>322</v>
      </c>
      <c r="R166" t="s">
        <v>1992</v>
      </c>
      <c r="S166" t="s">
        <v>1993</v>
      </c>
      <c r="T166" t="s">
        <v>1994</v>
      </c>
      <c r="U166" t="s">
        <v>31</v>
      </c>
    </row>
    <row r="167" spans="1:21">
      <c r="A167" t="s">
        <v>3082</v>
      </c>
      <c r="B167" t="s">
        <v>3082</v>
      </c>
      <c r="C167" t="s">
        <v>3083</v>
      </c>
      <c r="D167" t="s">
        <v>3084</v>
      </c>
      <c r="E167" t="s">
        <v>1987</v>
      </c>
      <c r="F167" t="s">
        <v>204</v>
      </c>
      <c r="G167" t="s">
        <v>1991</v>
      </c>
      <c r="H167">
        <v>5377</v>
      </c>
      <c r="I167">
        <v>134</v>
      </c>
      <c r="J167">
        <v>69</v>
      </c>
      <c r="K167">
        <v>12</v>
      </c>
      <c r="L167">
        <v>775798185</v>
      </c>
      <c r="M167">
        <v>768675</v>
      </c>
      <c r="N167">
        <v>1009.27</v>
      </c>
      <c r="O167">
        <v>271197</v>
      </c>
      <c r="P167">
        <v>7096</v>
      </c>
      <c r="Q167">
        <v>302</v>
      </c>
      <c r="R167" t="s">
        <v>1992</v>
      </c>
      <c r="S167" t="s">
        <v>1993</v>
      </c>
      <c r="T167" t="s">
        <v>1994</v>
      </c>
      <c r="U167" t="s">
        <v>3015</v>
      </c>
    </row>
    <row r="168" spans="1:21">
      <c r="A168" t="s">
        <v>3064</v>
      </c>
      <c r="B168" t="s">
        <v>3064</v>
      </c>
      <c r="C168" t="s">
        <v>3065</v>
      </c>
      <c r="D168" t="s">
        <v>3066</v>
      </c>
      <c r="E168" t="s">
        <v>1982</v>
      </c>
      <c r="F168" t="s">
        <v>204</v>
      </c>
      <c r="G168" t="s">
        <v>1991</v>
      </c>
      <c r="H168">
        <v>4949</v>
      </c>
      <c r="I168">
        <v>280</v>
      </c>
      <c r="J168">
        <v>360</v>
      </c>
      <c r="K168">
        <v>3</v>
      </c>
      <c r="L168">
        <v>1316597444</v>
      </c>
      <c r="M168">
        <v>2291413</v>
      </c>
      <c r="N168">
        <v>574.58000000000004</v>
      </c>
      <c r="O168">
        <v>68969</v>
      </c>
      <c r="P168">
        <v>707</v>
      </c>
      <c r="Q168">
        <v>252</v>
      </c>
      <c r="R168" t="s">
        <v>1992</v>
      </c>
      <c r="S168" t="s">
        <v>1993</v>
      </c>
      <c r="T168" t="s">
        <v>1994</v>
      </c>
      <c r="U168" t="s">
        <v>3015</v>
      </c>
    </row>
    <row r="169" spans="1:21">
      <c r="A169" t="s">
        <v>3067</v>
      </c>
      <c r="B169" t="s">
        <v>3067</v>
      </c>
      <c r="C169" t="s">
        <v>3068</v>
      </c>
      <c r="D169" t="s">
        <v>3069</v>
      </c>
      <c r="E169" t="s">
        <v>1987</v>
      </c>
      <c r="F169" t="s">
        <v>204</v>
      </c>
      <c r="G169" t="s">
        <v>1991</v>
      </c>
      <c r="H169">
        <v>2132</v>
      </c>
      <c r="I169">
        <v>2841</v>
      </c>
      <c r="J169">
        <v>608</v>
      </c>
      <c r="K169">
        <v>11</v>
      </c>
      <c r="L169">
        <v>1566887805</v>
      </c>
      <c r="M169">
        <v>1878623</v>
      </c>
      <c r="N169">
        <v>834.06</v>
      </c>
      <c r="O169">
        <v>58516</v>
      </c>
      <c r="P169">
        <v>1891</v>
      </c>
      <c r="Q169">
        <v>305</v>
      </c>
      <c r="R169" t="s">
        <v>1992</v>
      </c>
      <c r="S169" t="s">
        <v>1993</v>
      </c>
      <c r="T169" t="s">
        <v>1994</v>
      </c>
      <c r="U169" t="s">
        <v>3015</v>
      </c>
    </row>
    <row r="170" spans="1:21">
      <c r="A170" t="s">
        <v>3012</v>
      </c>
      <c r="B170" t="s">
        <v>3012</v>
      </c>
      <c r="C170" t="s">
        <v>3013</v>
      </c>
      <c r="D170" t="s">
        <v>3014</v>
      </c>
      <c r="E170" t="s">
        <v>1982</v>
      </c>
      <c r="F170" t="s">
        <v>204</v>
      </c>
      <c r="G170" t="s">
        <v>1991</v>
      </c>
      <c r="H170">
        <v>5262</v>
      </c>
      <c r="I170">
        <v>114</v>
      </c>
      <c r="J170">
        <v>196</v>
      </c>
      <c r="K170">
        <v>20</v>
      </c>
      <c r="L170">
        <v>993618684</v>
      </c>
      <c r="M170">
        <v>1456690</v>
      </c>
      <c r="N170">
        <v>682.11</v>
      </c>
      <c r="O170">
        <v>104133</v>
      </c>
      <c r="P170">
        <v>1597</v>
      </c>
      <c r="Q170">
        <v>254</v>
      </c>
      <c r="R170" t="s">
        <v>1992</v>
      </c>
      <c r="S170" t="s">
        <v>1993</v>
      </c>
      <c r="T170" t="s">
        <v>1994</v>
      </c>
      <c r="U170" t="s">
        <v>3015</v>
      </c>
    </row>
    <row r="171" spans="1:21">
      <c r="A171" t="s">
        <v>3138</v>
      </c>
      <c r="B171" t="s">
        <v>3138</v>
      </c>
      <c r="C171" t="s">
        <v>3139</v>
      </c>
      <c r="D171" t="s">
        <v>3140</v>
      </c>
      <c r="E171" t="s">
        <v>1982</v>
      </c>
      <c r="F171" t="s">
        <v>204</v>
      </c>
      <c r="G171" t="s">
        <v>1991</v>
      </c>
      <c r="H171">
        <v>2286</v>
      </c>
      <c r="I171">
        <v>2452</v>
      </c>
      <c r="J171">
        <v>854</v>
      </c>
      <c r="K171">
        <v>0</v>
      </c>
      <c r="L171">
        <v>1754566427</v>
      </c>
      <c r="M171">
        <v>1376611</v>
      </c>
      <c r="N171">
        <v>1274.55</v>
      </c>
      <c r="O171">
        <v>56146</v>
      </c>
      <c r="P171">
        <v>4115</v>
      </c>
      <c r="Q171">
        <v>375</v>
      </c>
      <c r="R171" t="s">
        <v>1992</v>
      </c>
      <c r="S171" t="s">
        <v>1993</v>
      </c>
      <c r="T171" t="s">
        <v>1994</v>
      </c>
      <c r="U171" t="s">
        <v>2001</v>
      </c>
    </row>
    <row r="172" spans="1:21">
      <c r="A172" t="s">
        <v>2659</v>
      </c>
      <c r="B172" t="s">
        <v>2659</v>
      </c>
      <c r="C172" t="s">
        <v>2660</v>
      </c>
      <c r="D172" t="s">
        <v>2661</v>
      </c>
      <c r="E172" t="s">
        <v>1982</v>
      </c>
      <c r="F172" t="s">
        <v>204</v>
      </c>
      <c r="G172" t="s">
        <v>1991</v>
      </c>
      <c r="H172">
        <v>1577</v>
      </c>
      <c r="I172">
        <v>3165</v>
      </c>
      <c r="J172">
        <v>850</v>
      </c>
      <c r="K172">
        <v>0</v>
      </c>
      <c r="L172">
        <v>2024267157</v>
      </c>
      <c r="M172">
        <v>1851928</v>
      </c>
      <c r="N172">
        <v>1093.06</v>
      </c>
      <c r="O172">
        <v>142529</v>
      </c>
      <c r="P172">
        <v>4954</v>
      </c>
      <c r="Q172">
        <v>309</v>
      </c>
      <c r="R172" t="s">
        <v>1992</v>
      </c>
      <c r="S172" t="s">
        <v>1993</v>
      </c>
      <c r="T172" t="s">
        <v>1994</v>
      </c>
      <c r="U172" t="s">
        <v>2001</v>
      </c>
    </row>
    <row r="173" spans="1:21">
      <c r="A173" t="s">
        <v>3033</v>
      </c>
      <c r="B173" t="s">
        <v>3033</v>
      </c>
      <c r="C173" t="s">
        <v>3034</v>
      </c>
      <c r="D173" t="s">
        <v>3035</v>
      </c>
      <c r="E173" t="s">
        <v>1982</v>
      </c>
      <c r="F173" t="s">
        <v>204</v>
      </c>
      <c r="G173" t="s">
        <v>1991</v>
      </c>
      <c r="H173">
        <v>4789</v>
      </c>
      <c r="I173">
        <v>274</v>
      </c>
      <c r="J173">
        <v>527</v>
      </c>
      <c r="K173">
        <v>2</v>
      </c>
      <c r="L173">
        <v>3653885458</v>
      </c>
      <c r="M173">
        <v>6739755</v>
      </c>
      <c r="N173">
        <v>542.14</v>
      </c>
      <c r="O173">
        <v>46306</v>
      </c>
      <c r="P173">
        <v>599</v>
      </c>
      <c r="Q173">
        <v>283</v>
      </c>
      <c r="R173" t="s">
        <v>1992</v>
      </c>
      <c r="S173" t="s">
        <v>1993</v>
      </c>
      <c r="T173" t="s">
        <v>1994</v>
      </c>
      <c r="U173" t="s">
        <v>2446</v>
      </c>
    </row>
    <row r="174" spans="1:21">
      <c r="A174" t="s">
        <v>2628</v>
      </c>
      <c r="B174" t="s">
        <v>2628</v>
      </c>
      <c r="C174" t="s">
        <v>2629</v>
      </c>
      <c r="D174" t="s">
        <v>2630</v>
      </c>
      <c r="E174" t="s">
        <v>1987</v>
      </c>
      <c r="F174" t="s">
        <v>204</v>
      </c>
      <c r="G174" t="s">
        <v>1991</v>
      </c>
      <c r="H174">
        <v>4407</v>
      </c>
      <c r="I174">
        <v>488</v>
      </c>
      <c r="J174">
        <v>695</v>
      </c>
      <c r="K174">
        <v>2</v>
      </c>
      <c r="L174">
        <v>1246306535</v>
      </c>
      <c r="M174">
        <v>1991691</v>
      </c>
      <c r="N174">
        <v>625.75</v>
      </c>
      <c r="O174">
        <v>510305</v>
      </c>
      <c r="P174">
        <v>927</v>
      </c>
      <c r="Q174">
        <v>263</v>
      </c>
      <c r="R174" t="s">
        <v>1992</v>
      </c>
      <c r="S174" t="s">
        <v>1993</v>
      </c>
      <c r="T174" t="s">
        <v>1994</v>
      </c>
      <c r="U174" t="s">
        <v>1998</v>
      </c>
    </row>
    <row r="175" spans="1:21">
      <c r="A175" t="s">
        <v>3543</v>
      </c>
      <c r="B175" t="s">
        <v>3543</v>
      </c>
      <c r="C175" t="s">
        <v>3544</v>
      </c>
      <c r="D175" t="s">
        <v>3545</v>
      </c>
      <c r="E175" t="s">
        <v>1982</v>
      </c>
      <c r="F175" t="s">
        <v>204</v>
      </c>
      <c r="G175" t="s">
        <v>1991</v>
      </c>
      <c r="H175">
        <v>3663</v>
      </c>
      <c r="I175">
        <v>1148</v>
      </c>
      <c r="J175">
        <v>780</v>
      </c>
      <c r="K175">
        <v>1</v>
      </c>
      <c r="L175">
        <v>3220082157</v>
      </c>
      <c r="M175">
        <v>5868781</v>
      </c>
      <c r="N175">
        <v>548.67999999999995</v>
      </c>
      <c r="O175">
        <v>122613</v>
      </c>
      <c r="P175">
        <v>604</v>
      </c>
      <c r="Q175">
        <v>283</v>
      </c>
      <c r="R175" t="s">
        <v>1992</v>
      </c>
      <c r="S175" t="s">
        <v>1993</v>
      </c>
      <c r="T175" t="s">
        <v>1994</v>
      </c>
      <c r="U175" t="s">
        <v>3460</v>
      </c>
    </row>
    <row r="176" spans="1:21">
      <c r="A176" t="s">
        <v>2256</v>
      </c>
      <c r="B176" t="s">
        <v>2257</v>
      </c>
      <c r="C176" t="s">
        <v>2258</v>
      </c>
      <c r="D176" t="s">
        <v>2259</v>
      </c>
      <c r="E176" t="s">
        <v>1987</v>
      </c>
      <c r="F176" t="s">
        <v>204</v>
      </c>
      <c r="G176" t="s">
        <v>1991</v>
      </c>
      <c r="H176">
        <v>3021</v>
      </c>
      <c r="I176">
        <v>1287</v>
      </c>
      <c r="J176">
        <v>1281</v>
      </c>
      <c r="K176">
        <v>3</v>
      </c>
      <c r="L176">
        <v>1618139504</v>
      </c>
      <c r="M176">
        <v>3148111</v>
      </c>
      <c r="N176">
        <v>514</v>
      </c>
      <c r="O176">
        <v>54855</v>
      </c>
      <c r="P176">
        <v>653</v>
      </c>
      <c r="Q176">
        <v>238</v>
      </c>
      <c r="R176" t="s">
        <v>1992</v>
      </c>
      <c r="S176" t="s">
        <v>1993</v>
      </c>
      <c r="T176" t="s">
        <v>1994</v>
      </c>
      <c r="U176" t="s">
        <v>1998</v>
      </c>
    </row>
    <row r="177" spans="1:21">
      <c r="A177" t="s">
        <v>2084</v>
      </c>
      <c r="B177" t="s">
        <v>2085</v>
      </c>
      <c r="C177" t="s">
        <v>2086</v>
      </c>
      <c r="D177" t="s">
        <v>2087</v>
      </c>
      <c r="E177" t="s">
        <v>1982</v>
      </c>
      <c r="F177" t="s">
        <v>204</v>
      </c>
      <c r="G177" t="s">
        <v>1991</v>
      </c>
      <c r="H177">
        <v>5278</v>
      </c>
      <c r="I177">
        <v>142</v>
      </c>
      <c r="J177">
        <v>169</v>
      </c>
      <c r="K177">
        <v>3</v>
      </c>
      <c r="L177">
        <v>1065548595</v>
      </c>
      <c r="M177">
        <v>1630994</v>
      </c>
      <c r="N177">
        <v>653.30999999999995</v>
      </c>
      <c r="O177">
        <v>88925</v>
      </c>
      <c r="P177">
        <v>1700</v>
      </c>
      <c r="Q177">
        <v>243</v>
      </c>
      <c r="R177" t="s">
        <v>1992</v>
      </c>
      <c r="S177" t="s">
        <v>1993</v>
      </c>
      <c r="T177" t="s">
        <v>1994</v>
      </c>
      <c r="U177" t="s">
        <v>1998</v>
      </c>
    </row>
    <row r="178" spans="1:21">
      <c r="A178" t="s">
        <v>2377</v>
      </c>
      <c r="B178" t="s">
        <v>2378</v>
      </c>
      <c r="C178" t="s">
        <v>2375</v>
      </c>
      <c r="D178" t="s">
        <v>2379</v>
      </c>
      <c r="E178" t="s">
        <v>1982</v>
      </c>
      <c r="F178" t="s">
        <v>204</v>
      </c>
      <c r="G178" t="s">
        <v>1991</v>
      </c>
      <c r="H178">
        <v>2456</v>
      </c>
      <c r="I178">
        <v>1937</v>
      </c>
      <c r="J178">
        <v>1198</v>
      </c>
      <c r="K178">
        <v>1</v>
      </c>
      <c r="L178">
        <v>1891089952</v>
      </c>
      <c r="M178">
        <v>3187164</v>
      </c>
      <c r="N178">
        <v>593.35</v>
      </c>
      <c r="O178">
        <v>59828</v>
      </c>
      <c r="P178">
        <v>938</v>
      </c>
      <c r="Q178">
        <v>247</v>
      </c>
      <c r="R178" t="s">
        <v>1992</v>
      </c>
      <c r="S178" t="s">
        <v>1993</v>
      </c>
      <c r="T178" t="s">
        <v>1994</v>
      </c>
      <c r="U178" t="s">
        <v>1995</v>
      </c>
    </row>
    <row r="179" spans="1:21">
      <c r="A179" t="s">
        <v>2542</v>
      </c>
      <c r="B179" t="s">
        <v>2543</v>
      </c>
      <c r="C179" t="s">
        <v>2544</v>
      </c>
      <c r="D179" t="s">
        <v>2545</v>
      </c>
      <c r="E179" t="s">
        <v>31</v>
      </c>
      <c r="F179" t="s">
        <v>204</v>
      </c>
      <c r="G179" t="s">
        <v>1991</v>
      </c>
      <c r="H179">
        <v>5347</v>
      </c>
      <c r="I179">
        <v>128</v>
      </c>
      <c r="J179">
        <v>113</v>
      </c>
      <c r="K179">
        <v>4</v>
      </c>
      <c r="L179">
        <v>695590822</v>
      </c>
      <c r="M179">
        <v>888581</v>
      </c>
      <c r="N179">
        <v>782.81</v>
      </c>
      <c r="O179">
        <v>132258</v>
      </c>
      <c r="P179">
        <v>4085</v>
      </c>
      <c r="Q179">
        <v>255</v>
      </c>
      <c r="R179" t="s">
        <v>1992</v>
      </c>
      <c r="S179" t="s">
        <v>1993</v>
      </c>
      <c r="T179" t="s">
        <v>1994</v>
      </c>
      <c r="U179" t="s">
        <v>1998</v>
      </c>
    </row>
    <row r="180" spans="1:21">
      <c r="A180" t="s">
        <v>2843</v>
      </c>
      <c r="B180" t="s">
        <v>2844</v>
      </c>
      <c r="C180" t="s">
        <v>2841</v>
      </c>
      <c r="D180" t="s">
        <v>2845</v>
      </c>
      <c r="E180" t="s">
        <v>1982</v>
      </c>
      <c r="F180" t="s">
        <v>204</v>
      </c>
      <c r="G180" t="s">
        <v>1991</v>
      </c>
      <c r="H180">
        <v>2792</v>
      </c>
      <c r="I180">
        <v>1184</v>
      </c>
      <c r="J180">
        <v>1610</v>
      </c>
      <c r="K180">
        <v>6</v>
      </c>
      <c r="L180">
        <v>1807387689</v>
      </c>
      <c r="M180">
        <v>3318916</v>
      </c>
      <c r="N180">
        <v>544.57000000000005</v>
      </c>
      <c r="O180">
        <v>58920</v>
      </c>
      <c r="P180">
        <v>718</v>
      </c>
      <c r="Q180">
        <v>242</v>
      </c>
      <c r="R180" t="s">
        <v>1992</v>
      </c>
      <c r="S180" t="s">
        <v>1993</v>
      </c>
      <c r="T180" t="s">
        <v>1994</v>
      </c>
      <c r="U180" t="s">
        <v>1998</v>
      </c>
    </row>
    <row r="181" spans="1:21">
      <c r="A181" t="s">
        <v>3265</v>
      </c>
      <c r="B181" t="s">
        <v>3266</v>
      </c>
      <c r="C181" t="s">
        <v>3267</v>
      </c>
      <c r="D181" t="s">
        <v>3268</v>
      </c>
      <c r="E181" t="s">
        <v>1982</v>
      </c>
      <c r="F181" t="s">
        <v>204</v>
      </c>
      <c r="G181" t="s">
        <v>1991</v>
      </c>
      <c r="H181">
        <v>1895</v>
      </c>
      <c r="I181">
        <v>2709</v>
      </c>
      <c r="J181">
        <v>985</v>
      </c>
      <c r="K181">
        <v>3</v>
      </c>
      <c r="L181">
        <v>2888987533</v>
      </c>
      <c r="M181">
        <v>4838583</v>
      </c>
      <c r="N181">
        <v>597.07000000000005</v>
      </c>
      <c r="O181">
        <v>52155</v>
      </c>
      <c r="P181">
        <v>720</v>
      </c>
      <c r="Q181">
        <v>283</v>
      </c>
      <c r="R181" t="s">
        <v>1992</v>
      </c>
      <c r="S181" t="s">
        <v>1993</v>
      </c>
      <c r="T181" t="s">
        <v>1994</v>
      </c>
      <c r="U181" t="s">
        <v>1998</v>
      </c>
    </row>
    <row r="182" spans="1:21">
      <c r="A182" t="s">
        <v>2866</v>
      </c>
      <c r="B182" t="s">
        <v>2867</v>
      </c>
      <c r="C182" t="s">
        <v>2868</v>
      </c>
      <c r="D182" t="s">
        <v>2869</v>
      </c>
      <c r="E182" t="s">
        <v>1982</v>
      </c>
      <c r="F182" t="s">
        <v>204</v>
      </c>
      <c r="G182" t="s">
        <v>1991</v>
      </c>
      <c r="H182">
        <v>5312</v>
      </c>
      <c r="I182">
        <v>142</v>
      </c>
      <c r="J182">
        <v>136</v>
      </c>
      <c r="K182">
        <v>2</v>
      </c>
      <c r="L182">
        <v>794976528</v>
      </c>
      <c r="M182">
        <v>804937</v>
      </c>
      <c r="N182">
        <v>987.63</v>
      </c>
      <c r="O182">
        <v>142731</v>
      </c>
      <c r="P182">
        <v>4734</v>
      </c>
      <c r="Q182">
        <v>283</v>
      </c>
      <c r="R182" t="s">
        <v>1992</v>
      </c>
      <c r="S182" t="s">
        <v>1993</v>
      </c>
      <c r="T182" t="s">
        <v>1994</v>
      </c>
      <c r="U182" t="s">
        <v>2710</v>
      </c>
    </row>
    <row r="183" spans="1:21">
      <c r="A183" t="s">
        <v>2478</v>
      </c>
      <c r="B183" t="s">
        <v>2479</v>
      </c>
      <c r="C183" t="s">
        <v>362</v>
      </c>
      <c r="D183" t="s">
        <v>2480</v>
      </c>
      <c r="E183" t="s">
        <v>1982</v>
      </c>
      <c r="F183" t="s">
        <v>204</v>
      </c>
      <c r="G183" t="s">
        <v>1991</v>
      </c>
      <c r="H183">
        <v>4773</v>
      </c>
      <c r="I183">
        <v>412</v>
      </c>
      <c r="J183">
        <v>405</v>
      </c>
      <c r="K183">
        <v>2</v>
      </c>
      <c r="L183">
        <v>1132983264</v>
      </c>
      <c r="M183">
        <v>2046318</v>
      </c>
      <c r="N183">
        <v>553.66999999999996</v>
      </c>
      <c r="O183">
        <v>76544</v>
      </c>
      <c r="P183">
        <v>669</v>
      </c>
      <c r="Q183">
        <v>241</v>
      </c>
      <c r="R183" t="s">
        <v>1992</v>
      </c>
      <c r="S183" t="s">
        <v>1993</v>
      </c>
      <c r="T183" t="s">
        <v>1994</v>
      </c>
      <c r="U183" t="s">
        <v>1995</v>
      </c>
    </row>
    <row r="184" spans="1:21">
      <c r="A184" t="s">
        <v>3125</v>
      </c>
      <c r="B184" t="s">
        <v>3126</v>
      </c>
      <c r="C184" t="s">
        <v>3127</v>
      </c>
      <c r="D184" t="s">
        <v>3128</v>
      </c>
      <c r="E184" t="s">
        <v>1982</v>
      </c>
      <c r="F184" t="s">
        <v>204</v>
      </c>
      <c r="G184" t="s">
        <v>1991</v>
      </c>
      <c r="H184">
        <v>1378</v>
      </c>
      <c r="I184">
        <v>3225</v>
      </c>
      <c r="J184">
        <v>988</v>
      </c>
      <c r="K184">
        <v>1</v>
      </c>
      <c r="L184">
        <v>1976744434</v>
      </c>
      <c r="M184">
        <v>2109368</v>
      </c>
      <c r="N184">
        <v>937.13</v>
      </c>
      <c r="O184">
        <v>108675</v>
      </c>
      <c r="P184">
        <v>4283</v>
      </c>
      <c r="Q184">
        <v>283</v>
      </c>
      <c r="R184" t="s">
        <v>1992</v>
      </c>
      <c r="S184" t="s">
        <v>1993</v>
      </c>
      <c r="T184" t="s">
        <v>1994</v>
      </c>
      <c r="U184" t="s">
        <v>2001</v>
      </c>
    </row>
    <row r="185" spans="1:21">
      <c r="A185" t="s">
        <v>2549</v>
      </c>
      <c r="B185" t="s">
        <v>2550</v>
      </c>
      <c r="C185" t="s">
        <v>2551</v>
      </c>
      <c r="D185" t="s">
        <v>2552</v>
      </c>
      <c r="E185" t="s">
        <v>1982</v>
      </c>
      <c r="F185" t="s">
        <v>204</v>
      </c>
      <c r="G185" t="s">
        <v>1991</v>
      </c>
      <c r="H185">
        <v>4638</v>
      </c>
      <c r="I185">
        <v>402</v>
      </c>
      <c r="J185">
        <v>542</v>
      </c>
      <c r="K185">
        <v>10</v>
      </c>
      <c r="L185">
        <v>1594568085</v>
      </c>
      <c r="M185">
        <v>3616091</v>
      </c>
      <c r="N185">
        <v>440.96</v>
      </c>
      <c r="O185">
        <v>82216</v>
      </c>
      <c r="P185">
        <v>399</v>
      </c>
      <c r="Q185">
        <v>226</v>
      </c>
      <c r="R185" t="s">
        <v>1992</v>
      </c>
      <c r="S185" t="s">
        <v>1993</v>
      </c>
      <c r="T185" t="s">
        <v>1994</v>
      </c>
      <c r="U185" t="s">
        <v>1998</v>
      </c>
    </row>
    <row r="186" spans="1:21">
      <c r="A186" t="s">
        <v>2159</v>
      </c>
      <c r="B186" t="s">
        <v>2160</v>
      </c>
      <c r="C186" t="s">
        <v>2161</v>
      </c>
      <c r="D186" t="s">
        <v>2162</v>
      </c>
      <c r="E186" t="s">
        <v>1982</v>
      </c>
      <c r="F186" t="s">
        <v>204</v>
      </c>
      <c r="G186" t="s">
        <v>1991</v>
      </c>
      <c r="H186">
        <v>1337</v>
      </c>
      <c r="I186">
        <v>3296</v>
      </c>
      <c r="J186">
        <v>957</v>
      </c>
      <c r="K186">
        <v>2</v>
      </c>
      <c r="L186">
        <v>2335266725</v>
      </c>
      <c r="M186">
        <v>3883619</v>
      </c>
      <c r="N186">
        <v>601.30999999999995</v>
      </c>
      <c r="O186">
        <v>48714</v>
      </c>
      <c r="P186">
        <v>840</v>
      </c>
      <c r="Q186">
        <v>256</v>
      </c>
      <c r="R186" t="s">
        <v>1992</v>
      </c>
      <c r="S186" t="s">
        <v>1993</v>
      </c>
      <c r="T186" t="s">
        <v>1994</v>
      </c>
      <c r="U186" t="s">
        <v>1998</v>
      </c>
    </row>
    <row r="187" spans="1:21">
      <c r="A187" t="s">
        <v>3423</v>
      </c>
      <c r="B187" t="s">
        <v>3424</v>
      </c>
      <c r="C187" t="s">
        <v>3425</v>
      </c>
      <c r="D187" t="s">
        <v>3426</v>
      </c>
      <c r="E187" t="s">
        <v>1982</v>
      </c>
      <c r="F187" t="s">
        <v>204</v>
      </c>
      <c r="G187" t="s">
        <v>1991</v>
      </c>
      <c r="H187">
        <v>3661</v>
      </c>
      <c r="I187">
        <v>1055</v>
      </c>
      <c r="J187">
        <v>874</v>
      </c>
      <c r="K187">
        <v>2</v>
      </c>
      <c r="L187">
        <v>2521850706</v>
      </c>
      <c r="M187">
        <v>4663474</v>
      </c>
      <c r="N187">
        <v>540.77</v>
      </c>
      <c r="O187">
        <v>66235</v>
      </c>
      <c r="P187">
        <v>618</v>
      </c>
      <c r="Q187">
        <v>261</v>
      </c>
      <c r="R187" t="s">
        <v>1992</v>
      </c>
      <c r="S187" t="s">
        <v>1993</v>
      </c>
      <c r="T187" t="s">
        <v>1994</v>
      </c>
      <c r="U187" t="s">
        <v>1995</v>
      </c>
    </row>
    <row r="188" spans="1:21">
      <c r="A188" t="s">
        <v>3348</v>
      </c>
      <c r="B188" t="s">
        <v>3349</v>
      </c>
      <c r="C188" t="s">
        <v>3350</v>
      </c>
      <c r="D188" t="s">
        <v>3351</v>
      </c>
      <c r="E188" t="s">
        <v>1982</v>
      </c>
      <c r="F188" t="s">
        <v>204</v>
      </c>
      <c r="G188" t="s">
        <v>1991</v>
      </c>
      <c r="H188">
        <v>4961</v>
      </c>
      <c r="I188">
        <v>110</v>
      </c>
      <c r="J188">
        <v>515</v>
      </c>
      <c r="K188">
        <v>6</v>
      </c>
      <c r="L188">
        <v>1463965126</v>
      </c>
      <c r="M188">
        <v>2864628</v>
      </c>
      <c r="N188">
        <v>511.05</v>
      </c>
      <c r="O188">
        <v>47976</v>
      </c>
      <c r="P188">
        <v>556</v>
      </c>
      <c r="Q188">
        <v>234</v>
      </c>
      <c r="R188" t="s">
        <v>1992</v>
      </c>
      <c r="S188" t="s">
        <v>1993</v>
      </c>
      <c r="T188" t="s">
        <v>1994</v>
      </c>
      <c r="U188" t="s">
        <v>2289</v>
      </c>
    </row>
    <row r="189" spans="1:21">
      <c r="A189" t="s">
        <v>2652</v>
      </c>
      <c r="B189" t="s">
        <v>2653</v>
      </c>
      <c r="C189" t="s">
        <v>2654</v>
      </c>
      <c r="D189" t="s">
        <v>2655</v>
      </c>
      <c r="E189" t="s">
        <v>1982</v>
      </c>
      <c r="F189" t="s">
        <v>204</v>
      </c>
      <c r="G189" t="s">
        <v>1991</v>
      </c>
      <c r="H189">
        <v>1118</v>
      </c>
      <c r="I189">
        <v>3581</v>
      </c>
      <c r="J189">
        <v>888</v>
      </c>
      <c r="K189">
        <v>5</v>
      </c>
      <c r="L189">
        <v>2260821455</v>
      </c>
      <c r="M189">
        <v>3906377</v>
      </c>
      <c r="N189">
        <v>578.75</v>
      </c>
      <c r="O189">
        <v>114362</v>
      </c>
      <c r="P189">
        <v>831</v>
      </c>
      <c r="Q189">
        <v>243</v>
      </c>
      <c r="R189" t="s">
        <v>1992</v>
      </c>
      <c r="S189" t="s">
        <v>1993</v>
      </c>
      <c r="T189" t="s">
        <v>1994</v>
      </c>
      <c r="U189" t="s">
        <v>2636</v>
      </c>
    </row>
    <row r="190" spans="1:21">
      <c r="A190" t="s">
        <v>2648</v>
      </c>
      <c r="B190" t="s">
        <v>2649</v>
      </c>
      <c r="C190" t="s">
        <v>2650</v>
      </c>
      <c r="D190" t="s">
        <v>2651</v>
      </c>
      <c r="E190" t="s">
        <v>1982</v>
      </c>
      <c r="F190" t="s">
        <v>204</v>
      </c>
      <c r="G190" t="s">
        <v>1991</v>
      </c>
      <c r="H190">
        <v>5247</v>
      </c>
      <c r="I190">
        <v>148</v>
      </c>
      <c r="J190">
        <v>189</v>
      </c>
      <c r="K190">
        <v>8</v>
      </c>
      <c r="L190">
        <v>1251951196</v>
      </c>
      <c r="M190">
        <v>2202749</v>
      </c>
      <c r="N190">
        <v>568.36</v>
      </c>
      <c r="O190">
        <v>103292</v>
      </c>
      <c r="P190">
        <v>775</v>
      </c>
      <c r="Q190">
        <v>240</v>
      </c>
      <c r="R190" t="s">
        <v>1992</v>
      </c>
      <c r="S190" t="s">
        <v>1993</v>
      </c>
      <c r="T190" t="s">
        <v>1994</v>
      </c>
      <c r="U190" t="s">
        <v>2636</v>
      </c>
    </row>
    <row r="191" spans="1:21">
      <c r="A191" t="s">
        <v>2563</v>
      </c>
      <c r="B191" t="s">
        <v>2564</v>
      </c>
      <c r="C191" t="s">
        <v>2565</v>
      </c>
      <c r="D191" t="s">
        <v>2566</v>
      </c>
      <c r="E191" t="s">
        <v>1987</v>
      </c>
      <c r="F191" t="s">
        <v>204</v>
      </c>
      <c r="G191" t="s">
        <v>1991</v>
      </c>
      <c r="H191">
        <v>4539</v>
      </c>
      <c r="I191">
        <v>449</v>
      </c>
      <c r="J191">
        <v>593</v>
      </c>
      <c r="K191">
        <v>11</v>
      </c>
      <c r="L191">
        <v>1571994366</v>
      </c>
      <c r="M191">
        <v>3473227</v>
      </c>
      <c r="N191">
        <v>452.6</v>
      </c>
      <c r="O191">
        <v>94649</v>
      </c>
      <c r="P191">
        <v>420</v>
      </c>
      <c r="Q191">
        <v>227</v>
      </c>
      <c r="R191" t="s">
        <v>1992</v>
      </c>
      <c r="S191" t="s">
        <v>1993</v>
      </c>
      <c r="T191" t="s">
        <v>1994</v>
      </c>
      <c r="U191" t="s">
        <v>1998</v>
      </c>
    </row>
    <row r="192" spans="1:21">
      <c r="A192" t="s">
        <v>2105</v>
      </c>
      <c r="B192" t="s">
        <v>2106</v>
      </c>
      <c r="C192" t="s">
        <v>2107</v>
      </c>
      <c r="D192" t="s">
        <v>2108</v>
      </c>
      <c r="E192" t="s">
        <v>1982</v>
      </c>
      <c r="F192" t="s">
        <v>204</v>
      </c>
      <c r="G192" t="s">
        <v>1991</v>
      </c>
      <c r="H192">
        <v>5230</v>
      </c>
      <c r="I192">
        <v>154</v>
      </c>
      <c r="J192">
        <v>205</v>
      </c>
      <c r="K192">
        <v>3</v>
      </c>
      <c r="L192">
        <v>1337094106</v>
      </c>
      <c r="M192">
        <v>2560799</v>
      </c>
      <c r="N192">
        <v>522.14</v>
      </c>
      <c r="O192">
        <v>73733</v>
      </c>
      <c r="P192">
        <v>568</v>
      </c>
      <c r="Q192">
        <v>233</v>
      </c>
      <c r="R192" t="s">
        <v>1992</v>
      </c>
      <c r="S192" t="s">
        <v>1993</v>
      </c>
      <c r="T192" t="s">
        <v>1994</v>
      </c>
      <c r="U192" t="s">
        <v>1998</v>
      </c>
    </row>
    <row r="193" spans="1:21">
      <c r="A193" t="s">
        <v>2447</v>
      </c>
      <c r="B193" t="s">
        <v>2448</v>
      </c>
      <c r="C193" t="s">
        <v>339</v>
      </c>
      <c r="D193" t="s">
        <v>2449</v>
      </c>
      <c r="E193" t="s">
        <v>1987</v>
      </c>
      <c r="F193" t="s">
        <v>204</v>
      </c>
      <c r="G193" t="s">
        <v>1991</v>
      </c>
      <c r="H193">
        <v>5246</v>
      </c>
      <c r="I193">
        <v>97</v>
      </c>
      <c r="J193">
        <v>237</v>
      </c>
      <c r="K193">
        <v>12</v>
      </c>
      <c r="L193">
        <v>1893691976</v>
      </c>
      <c r="M193">
        <v>3884615</v>
      </c>
      <c r="N193">
        <v>487.49</v>
      </c>
      <c r="O193">
        <v>87074</v>
      </c>
      <c r="P193">
        <v>477</v>
      </c>
      <c r="Q193">
        <v>232</v>
      </c>
      <c r="R193" t="s">
        <v>1992</v>
      </c>
      <c r="S193" t="s">
        <v>1993</v>
      </c>
      <c r="T193" t="s">
        <v>1994</v>
      </c>
      <c r="U193" t="s">
        <v>2446</v>
      </c>
    </row>
    <row r="194" spans="1:21">
      <c r="A194" t="s">
        <v>3157</v>
      </c>
      <c r="B194" t="s">
        <v>3158</v>
      </c>
      <c r="C194" t="s">
        <v>3159</v>
      </c>
      <c r="D194" t="s">
        <v>3160</v>
      </c>
      <c r="E194" t="s">
        <v>1982</v>
      </c>
      <c r="F194" t="s">
        <v>204</v>
      </c>
      <c r="G194" t="s">
        <v>1991</v>
      </c>
      <c r="H194">
        <v>4568</v>
      </c>
      <c r="I194">
        <v>374</v>
      </c>
      <c r="J194">
        <v>650</v>
      </c>
      <c r="K194">
        <v>0</v>
      </c>
      <c r="L194">
        <v>2877466520</v>
      </c>
      <c r="M194">
        <v>6012208</v>
      </c>
      <c r="N194">
        <v>478.6</v>
      </c>
      <c r="O194">
        <v>49029</v>
      </c>
      <c r="P194">
        <v>492</v>
      </c>
      <c r="Q194">
        <v>261</v>
      </c>
      <c r="R194" t="s">
        <v>1992</v>
      </c>
      <c r="S194" t="s">
        <v>1993</v>
      </c>
      <c r="T194" t="s">
        <v>1994</v>
      </c>
      <c r="U194" t="s">
        <v>2001</v>
      </c>
    </row>
    <row r="195" spans="1:21">
      <c r="A195" t="s">
        <v>3325</v>
      </c>
      <c r="B195" t="s">
        <v>3326</v>
      </c>
      <c r="C195" t="s">
        <v>3327</v>
      </c>
      <c r="D195" t="s">
        <v>3328</v>
      </c>
      <c r="E195" t="s">
        <v>1982</v>
      </c>
      <c r="F195" t="s">
        <v>204</v>
      </c>
      <c r="G195" t="s">
        <v>1991</v>
      </c>
      <c r="H195">
        <v>5160</v>
      </c>
      <c r="I195">
        <v>109</v>
      </c>
      <c r="J195">
        <v>317</v>
      </c>
      <c r="K195">
        <v>6</v>
      </c>
      <c r="L195">
        <v>1423748911</v>
      </c>
      <c r="M195">
        <v>2723964</v>
      </c>
      <c r="N195">
        <v>522.67999999999995</v>
      </c>
      <c r="O195">
        <v>54277</v>
      </c>
      <c r="P195">
        <v>594</v>
      </c>
      <c r="Q195">
        <v>235</v>
      </c>
      <c r="R195" t="s">
        <v>1992</v>
      </c>
      <c r="S195" t="s">
        <v>1993</v>
      </c>
      <c r="T195" t="s">
        <v>1994</v>
      </c>
      <c r="U195" t="s">
        <v>2289</v>
      </c>
    </row>
    <row r="196" spans="1:21">
      <c r="A196" t="s">
        <v>2520</v>
      </c>
      <c r="B196" t="s">
        <v>2521</v>
      </c>
      <c r="C196" t="s">
        <v>2522</v>
      </c>
      <c r="D196" t="s">
        <v>2523</v>
      </c>
      <c r="E196" t="s">
        <v>1982</v>
      </c>
      <c r="F196" t="s">
        <v>204</v>
      </c>
      <c r="G196" t="s">
        <v>1991</v>
      </c>
      <c r="H196">
        <v>4603</v>
      </c>
      <c r="I196">
        <v>473</v>
      </c>
      <c r="J196">
        <v>514</v>
      </c>
      <c r="K196">
        <v>2</v>
      </c>
      <c r="L196">
        <v>1233117740</v>
      </c>
      <c r="M196">
        <v>2246302</v>
      </c>
      <c r="N196">
        <v>548.95000000000005</v>
      </c>
      <c r="O196">
        <v>93253</v>
      </c>
      <c r="P196">
        <v>653</v>
      </c>
      <c r="Q196">
        <v>242</v>
      </c>
      <c r="R196" t="s">
        <v>1992</v>
      </c>
      <c r="S196" t="s">
        <v>1993</v>
      </c>
      <c r="T196" t="s">
        <v>1994</v>
      </c>
      <c r="U196" t="s">
        <v>1995</v>
      </c>
    </row>
    <row r="197" spans="1:21">
      <c r="A197" t="s">
        <v>3352</v>
      </c>
      <c r="B197" t="s">
        <v>3353</v>
      </c>
      <c r="C197" t="s">
        <v>3350</v>
      </c>
      <c r="D197" t="s">
        <v>3354</v>
      </c>
      <c r="E197" t="s">
        <v>1982</v>
      </c>
      <c r="F197" t="s">
        <v>204</v>
      </c>
      <c r="G197" t="s">
        <v>1991</v>
      </c>
      <c r="H197">
        <v>4826</v>
      </c>
      <c r="I197">
        <v>100</v>
      </c>
      <c r="J197">
        <v>660</v>
      </c>
      <c r="K197">
        <v>6</v>
      </c>
      <c r="L197">
        <v>1883771115</v>
      </c>
      <c r="M197">
        <v>4390757</v>
      </c>
      <c r="N197">
        <v>429.03</v>
      </c>
      <c r="O197">
        <v>33335</v>
      </c>
      <c r="P197">
        <v>403</v>
      </c>
      <c r="Q197">
        <v>230</v>
      </c>
      <c r="R197" t="s">
        <v>1992</v>
      </c>
      <c r="S197" t="s">
        <v>1993</v>
      </c>
      <c r="T197" t="s">
        <v>1994</v>
      </c>
      <c r="U197" t="s">
        <v>2289</v>
      </c>
    </row>
    <row r="198" spans="1:21">
      <c r="A198" t="s">
        <v>2301</v>
      </c>
      <c r="B198" t="s">
        <v>2302</v>
      </c>
      <c r="C198" t="s">
        <v>2303</v>
      </c>
      <c r="D198" t="s">
        <v>2304</v>
      </c>
      <c r="E198" t="s">
        <v>1987</v>
      </c>
      <c r="F198" t="s">
        <v>204</v>
      </c>
      <c r="G198" t="s">
        <v>1991</v>
      </c>
      <c r="H198">
        <v>5321</v>
      </c>
      <c r="I198">
        <v>127</v>
      </c>
      <c r="J198">
        <v>135</v>
      </c>
      <c r="K198">
        <v>9</v>
      </c>
      <c r="L198">
        <v>615473490</v>
      </c>
      <c r="M198">
        <v>774410</v>
      </c>
      <c r="N198">
        <v>794.76</v>
      </c>
      <c r="O198">
        <v>259648</v>
      </c>
      <c r="P198">
        <v>5362</v>
      </c>
      <c r="Q198">
        <v>258</v>
      </c>
      <c r="R198" t="s">
        <v>1992</v>
      </c>
      <c r="S198" t="s">
        <v>1993</v>
      </c>
      <c r="T198" t="s">
        <v>1994</v>
      </c>
      <c r="U198" t="s">
        <v>2294</v>
      </c>
    </row>
    <row r="199" spans="1:21">
      <c r="A199" t="s">
        <v>2285</v>
      </c>
      <c r="B199" t="s">
        <v>2286</v>
      </c>
      <c r="C199" t="s">
        <v>2287</v>
      </c>
      <c r="D199" t="s">
        <v>2288</v>
      </c>
      <c r="E199" t="s">
        <v>1982</v>
      </c>
      <c r="F199" t="s">
        <v>204</v>
      </c>
      <c r="G199" t="s">
        <v>1991</v>
      </c>
      <c r="H199">
        <v>3873</v>
      </c>
      <c r="I199">
        <v>800</v>
      </c>
      <c r="J199">
        <v>916</v>
      </c>
      <c r="K199">
        <v>3</v>
      </c>
      <c r="L199">
        <v>1976699020</v>
      </c>
      <c r="M199">
        <v>4426967</v>
      </c>
      <c r="N199">
        <v>446.51</v>
      </c>
      <c r="O199">
        <v>82611</v>
      </c>
      <c r="P199">
        <v>418</v>
      </c>
      <c r="Q199">
        <v>231</v>
      </c>
      <c r="R199" t="s">
        <v>1992</v>
      </c>
      <c r="S199" t="s">
        <v>1993</v>
      </c>
      <c r="T199" t="s">
        <v>1994</v>
      </c>
      <c r="U199" t="s">
        <v>2289</v>
      </c>
    </row>
    <row r="200" spans="1:21">
      <c r="A200" t="s">
        <v>2936</v>
      </c>
      <c r="B200" t="s">
        <v>2937</v>
      </c>
      <c r="C200" t="s">
        <v>2938</v>
      </c>
      <c r="D200" t="s">
        <v>2939</v>
      </c>
      <c r="E200" t="s">
        <v>1987</v>
      </c>
      <c r="F200" t="s">
        <v>204</v>
      </c>
      <c r="G200" t="s">
        <v>1991</v>
      </c>
      <c r="H200">
        <v>5290</v>
      </c>
      <c r="I200">
        <v>120</v>
      </c>
      <c r="J200">
        <v>173</v>
      </c>
      <c r="K200">
        <v>9</v>
      </c>
      <c r="L200">
        <v>1005862841</v>
      </c>
      <c r="M200">
        <v>1794969</v>
      </c>
      <c r="N200">
        <v>560.38</v>
      </c>
      <c r="O200">
        <v>83480</v>
      </c>
      <c r="P200">
        <v>843</v>
      </c>
      <c r="Q200">
        <v>235</v>
      </c>
      <c r="R200" t="s">
        <v>1992</v>
      </c>
      <c r="S200" t="s">
        <v>1993</v>
      </c>
      <c r="T200" t="s">
        <v>1994</v>
      </c>
      <c r="U200" t="s">
        <v>1995</v>
      </c>
    </row>
    <row r="201" spans="1:21">
      <c r="A201" t="s">
        <v>2940</v>
      </c>
      <c r="B201" t="s">
        <v>2941</v>
      </c>
      <c r="C201" t="s">
        <v>2942</v>
      </c>
      <c r="D201" t="s">
        <v>2943</v>
      </c>
      <c r="E201" t="s">
        <v>1987</v>
      </c>
      <c r="F201" t="s">
        <v>204</v>
      </c>
      <c r="G201" t="s">
        <v>1991</v>
      </c>
      <c r="H201">
        <v>5301</v>
      </c>
      <c r="I201">
        <v>122</v>
      </c>
      <c r="J201">
        <v>162</v>
      </c>
      <c r="K201">
        <v>7</v>
      </c>
      <c r="L201">
        <v>732984579</v>
      </c>
      <c r="M201">
        <v>942912</v>
      </c>
      <c r="N201">
        <v>777.36</v>
      </c>
      <c r="O201">
        <v>105364</v>
      </c>
      <c r="P201">
        <v>3299</v>
      </c>
      <c r="Q201">
        <v>259</v>
      </c>
      <c r="R201" t="s">
        <v>1992</v>
      </c>
      <c r="S201" t="s">
        <v>1993</v>
      </c>
      <c r="T201" t="s">
        <v>1994</v>
      </c>
      <c r="U201" t="s">
        <v>1995</v>
      </c>
    </row>
    <row r="202" spans="1:21">
      <c r="A202" t="s">
        <v>2500</v>
      </c>
      <c r="B202" t="s">
        <v>2501</v>
      </c>
      <c r="C202" t="s">
        <v>2502</v>
      </c>
      <c r="D202" t="s">
        <v>2503</v>
      </c>
      <c r="E202" t="s">
        <v>1982</v>
      </c>
      <c r="F202" t="s">
        <v>204</v>
      </c>
      <c r="G202" t="s">
        <v>1991</v>
      </c>
      <c r="H202">
        <v>4788</v>
      </c>
      <c r="I202">
        <v>390</v>
      </c>
      <c r="J202">
        <v>411</v>
      </c>
      <c r="K202">
        <v>3</v>
      </c>
      <c r="L202">
        <v>1124807792</v>
      </c>
      <c r="M202">
        <v>1981931</v>
      </c>
      <c r="N202">
        <v>567.53</v>
      </c>
      <c r="O202">
        <v>90915</v>
      </c>
      <c r="P202">
        <v>825</v>
      </c>
      <c r="Q202">
        <v>239</v>
      </c>
      <c r="R202" t="s">
        <v>1992</v>
      </c>
      <c r="S202" t="s">
        <v>1993</v>
      </c>
      <c r="T202" t="s">
        <v>1994</v>
      </c>
      <c r="U202" t="s">
        <v>1995</v>
      </c>
    </row>
    <row r="203" spans="1:21">
      <c r="A203" t="s">
        <v>2088</v>
      </c>
      <c r="B203" t="s">
        <v>2089</v>
      </c>
      <c r="C203" t="s">
        <v>2090</v>
      </c>
      <c r="D203" t="s">
        <v>2091</v>
      </c>
      <c r="E203" t="s">
        <v>31</v>
      </c>
      <c r="F203" t="s">
        <v>204</v>
      </c>
      <c r="G203" t="s">
        <v>1991</v>
      </c>
      <c r="H203">
        <v>5250</v>
      </c>
      <c r="I203">
        <v>134</v>
      </c>
      <c r="J203">
        <v>204</v>
      </c>
      <c r="K203">
        <v>4</v>
      </c>
      <c r="L203">
        <v>1019118244</v>
      </c>
      <c r="M203">
        <v>1448880</v>
      </c>
      <c r="N203">
        <v>703.38</v>
      </c>
      <c r="O203">
        <v>105382</v>
      </c>
      <c r="P203">
        <v>2049</v>
      </c>
      <c r="Q203">
        <v>253</v>
      </c>
      <c r="R203" t="s">
        <v>1992</v>
      </c>
      <c r="S203" t="s">
        <v>1993</v>
      </c>
      <c r="T203" t="s">
        <v>1994</v>
      </c>
      <c r="U203" t="s">
        <v>1998</v>
      </c>
    </row>
    <row r="204" spans="1:21">
      <c r="A204" t="s">
        <v>2694</v>
      </c>
      <c r="B204" t="s">
        <v>2695</v>
      </c>
      <c r="C204" t="s">
        <v>2692</v>
      </c>
      <c r="D204" t="s">
        <v>2696</v>
      </c>
      <c r="E204" t="s">
        <v>1982</v>
      </c>
      <c r="F204" t="s">
        <v>204</v>
      </c>
      <c r="G204" t="s">
        <v>1991</v>
      </c>
      <c r="H204">
        <v>5081</v>
      </c>
      <c r="I204">
        <v>173</v>
      </c>
      <c r="J204">
        <v>334</v>
      </c>
      <c r="K204">
        <v>4</v>
      </c>
      <c r="L204">
        <v>892859198</v>
      </c>
      <c r="M204">
        <v>1490741</v>
      </c>
      <c r="N204">
        <v>598.94000000000005</v>
      </c>
      <c r="O204">
        <v>83850</v>
      </c>
      <c r="P204">
        <v>1011</v>
      </c>
      <c r="Q204">
        <v>242</v>
      </c>
      <c r="R204" t="s">
        <v>1992</v>
      </c>
      <c r="S204" t="s">
        <v>1993</v>
      </c>
      <c r="T204" t="s">
        <v>1994</v>
      </c>
      <c r="U204" t="s">
        <v>2289</v>
      </c>
    </row>
    <row r="205" spans="1:21">
      <c r="A205" t="s">
        <v>2797</v>
      </c>
      <c r="B205" t="s">
        <v>2798</v>
      </c>
      <c r="C205" t="s">
        <v>2799</v>
      </c>
      <c r="D205" t="s">
        <v>2800</v>
      </c>
      <c r="E205" t="s">
        <v>1982</v>
      </c>
      <c r="F205" t="s">
        <v>204</v>
      </c>
      <c r="G205" t="s">
        <v>1991</v>
      </c>
      <c r="H205">
        <v>1909</v>
      </c>
      <c r="I205">
        <v>2552</v>
      </c>
      <c r="J205">
        <v>1128</v>
      </c>
      <c r="K205">
        <v>3</v>
      </c>
      <c r="L205">
        <v>1648402914</v>
      </c>
      <c r="M205">
        <v>2050811</v>
      </c>
      <c r="N205">
        <v>803.78</v>
      </c>
      <c r="O205">
        <v>53565</v>
      </c>
      <c r="P205">
        <v>2083</v>
      </c>
      <c r="Q205">
        <v>282</v>
      </c>
      <c r="R205" t="s">
        <v>1992</v>
      </c>
      <c r="S205" t="s">
        <v>1993</v>
      </c>
      <c r="T205" t="s">
        <v>1994</v>
      </c>
      <c r="U205" t="s">
        <v>1998</v>
      </c>
    </row>
    <row r="206" spans="1:21">
      <c r="A206" t="s">
        <v>3098</v>
      </c>
      <c r="B206" t="s">
        <v>3099</v>
      </c>
      <c r="C206" t="s">
        <v>3096</v>
      </c>
      <c r="D206" t="s">
        <v>3100</v>
      </c>
      <c r="E206" t="s">
        <v>31</v>
      </c>
      <c r="F206" t="s">
        <v>204</v>
      </c>
      <c r="G206" t="s">
        <v>1991</v>
      </c>
      <c r="H206">
        <v>4994</v>
      </c>
      <c r="I206">
        <v>69</v>
      </c>
      <c r="J206">
        <v>522</v>
      </c>
      <c r="K206">
        <v>7</v>
      </c>
      <c r="L206">
        <v>1280101791</v>
      </c>
      <c r="M206">
        <v>1154730</v>
      </c>
      <c r="N206">
        <v>1108.57</v>
      </c>
      <c r="O206">
        <v>66349</v>
      </c>
      <c r="P206">
        <v>3881</v>
      </c>
      <c r="Q206">
        <v>316</v>
      </c>
      <c r="R206" t="s">
        <v>1992</v>
      </c>
      <c r="S206" t="s">
        <v>1993</v>
      </c>
      <c r="T206" t="s">
        <v>1994</v>
      </c>
      <c r="U206" t="s">
        <v>2446</v>
      </c>
    </row>
    <row r="207" spans="1:21">
      <c r="A207" t="s">
        <v>3518</v>
      </c>
      <c r="B207" t="s">
        <v>3519</v>
      </c>
      <c r="C207" t="s">
        <v>3514</v>
      </c>
      <c r="D207" t="s">
        <v>3520</v>
      </c>
      <c r="E207" t="s">
        <v>1982</v>
      </c>
      <c r="F207" t="s">
        <v>204</v>
      </c>
      <c r="G207" t="s">
        <v>1991</v>
      </c>
      <c r="H207">
        <v>3043</v>
      </c>
      <c r="I207">
        <v>860</v>
      </c>
      <c r="J207">
        <v>1688</v>
      </c>
      <c r="K207">
        <v>1</v>
      </c>
      <c r="L207">
        <v>2348568978</v>
      </c>
      <c r="M207">
        <v>4097748</v>
      </c>
      <c r="N207">
        <v>573.14</v>
      </c>
      <c r="O207">
        <v>205249</v>
      </c>
      <c r="P207">
        <v>704</v>
      </c>
      <c r="Q207">
        <v>281</v>
      </c>
      <c r="R207" t="s">
        <v>1992</v>
      </c>
      <c r="S207" t="s">
        <v>1993</v>
      </c>
      <c r="T207" t="s">
        <v>1994</v>
      </c>
      <c r="U207" t="s">
        <v>3460</v>
      </c>
    </row>
    <row r="208" spans="1:21">
      <c r="A208" t="s">
        <v>2264</v>
      </c>
      <c r="B208" t="s">
        <v>2265</v>
      </c>
      <c r="C208" t="s">
        <v>2266</v>
      </c>
      <c r="D208" t="s">
        <v>2267</v>
      </c>
      <c r="E208" t="s">
        <v>1982</v>
      </c>
      <c r="F208" t="s">
        <v>204</v>
      </c>
      <c r="G208" t="s">
        <v>1991</v>
      </c>
      <c r="H208">
        <v>5048</v>
      </c>
      <c r="I208">
        <v>229</v>
      </c>
      <c r="J208">
        <v>307</v>
      </c>
      <c r="K208">
        <v>8</v>
      </c>
      <c r="L208">
        <v>1241738779</v>
      </c>
      <c r="M208">
        <v>2069783</v>
      </c>
      <c r="N208">
        <v>599.94000000000005</v>
      </c>
      <c r="O208">
        <v>93847</v>
      </c>
      <c r="P208">
        <v>905</v>
      </c>
      <c r="Q208">
        <v>246</v>
      </c>
      <c r="R208" t="s">
        <v>1992</v>
      </c>
      <c r="S208" t="s">
        <v>1993</v>
      </c>
      <c r="T208" t="s">
        <v>1994</v>
      </c>
      <c r="U208" t="s">
        <v>1998</v>
      </c>
    </row>
    <row r="209" spans="1:21">
      <c r="A209" t="s">
        <v>2573</v>
      </c>
      <c r="B209" t="s">
        <v>2574</v>
      </c>
      <c r="C209" t="s">
        <v>2575</v>
      </c>
      <c r="D209" t="s">
        <v>2576</v>
      </c>
      <c r="E209" t="s">
        <v>1987</v>
      </c>
      <c r="F209" t="s">
        <v>204</v>
      </c>
      <c r="G209" t="s">
        <v>1991</v>
      </c>
      <c r="H209">
        <v>1758</v>
      </c>
      <c r="I209">
        <v>2710</v>
      </c>
      <c r="J209">
        <v>1120</v>
      </c>
      <c r="K209">
        <v>4</v>
      </c>
      <c r="L209">
        <v>930887697</v>
      </c>
      <c r="M209">
        <v>886058</v>
      </c>
      <c r="N209">
        <v>1050.5899999999999</v>
      </c>
      <c r="O209">
        <v>99865</v>
      </c>
      <c r="P209">
        <v>3171</v>
      </c>
      <c r="Q209">
        <v>316</v>
      </c>
      <c r="R209" t="s">
        <v>1992</v>
      </c>
      <c r="S209" t="s">
        <v>1993</v>
      </c>
      <c r="T209" t="s">
        <v>1994</v>
      </c>
      <c r="U209" t="s">
        <v>2284</v>
      </c>
    </row>
    <row r="210" spans="1:21">
      <c r="A210" t="s">
        <v>2132</v>
      </c>
      <c r="B210" t="s">
        <v>2133</v>
      </c>
      <c r="C210" t="s">
        <v>2134</v>
      </c>
      <c r="D210" t="s">
        <v>2135</v>
      </c>
      <c r="E210" t="s">
        <v>1982</v>
      </c>
      <c r="F210" t="s">
        <v>204</v>
      </c>
      <c r="G210" t="s">
        <v>1991</v>
      </c>
      <c r="H210">
        <v>1644</v>
      </c>
      <c r="I210">
        <v>2297</v>
      </c>
      <c r="J210">
        <v>1649</v>
      </c>
      <c r="K210">
        <v>2</v>
      </c>
      <c r="L210">
        <v>3130668241</v>
      </c>
      <c r="M210">
        <v>4884150</v>
      </c>
      <c r="N210">
        <v>640.99</v>
      </c>
      <c r="O210">
        <v>57441</v>
      </c>
      <c r="P210">
        <v>909</v>
      </c>
      <c r="Q210">
        <v>283</v>
      </c>
      <c r="R210" t="s">
        <v>1992</v>
      </c>
      <c r="S210" t="s">
        <v>1993</v>
      </c>
      <c r="T210" t="s">
        <v>1994</v>
      </c>
      <c r="U210" t="s">
        <v>1998</v>
      </c>
    </row>
    <row r="211" spans="1:21">
      <c r="A211" t="s">
        <v>2145</v>
      </c>
      <c r="B211" t="s">
        <v>2146</v>
      </c>
      <c r="C211" t="s">
        <v>2147</v>
      </c>
      <c r="D211" t="s">
        <v>2148</v>
      </c>
      <c r="E211" t="s">
        <v>31</v>
      </c>
      <c r="F211" t="s">
        <v>204</v>
      </c>
      <c r="G211" t="s">
        <v>1991</v>
      </c>
      <c r="H211">
        <v>5224</v>
      </c>
      <c r="I211">
        <v>167</v>
      </c>
      <c r="J211">
        <v>197</v>
      </c>
      <c r="K211">
        <v>4</v>
      </c>
      <c r="L211">
        <v>1258115137</v>
      </c>
      <c r="M211">
        <v>2268076</v>
      </c>
      <c r="N211">
        <v>554.71</v>
      </c>
      <c r="O211">
        <v>81776</v>
      </c>
      <c r="P211">
        <v>748</v>
      </c>
      <c r="Q211">
        <v>234</v>
      </c>
      <c r="R211" t="s">
        <v>1992</v>
      </c>
      <c r="S211" t="s">
        <v>1993</v>
      </c>
      <c r="T211" t="s">
        <v>1994</v>
      </c>
      <c r="U211" t="s">
        <v>1998</v>
      </c>
    </row>
    <row r="212" spans="1:21">
      <c r="A212" t="s">
        <v>2268</v>
      </c>
      <c r="B212" t="s">
        <v>2269</v>
      </c>
      <c r="C212" t="s">
        <v>2270</v>
      </c>
      <c r="D212" t="s">
        <v>2271</v>
      </c>
      <c r="E212" t="s">
        <v>1982</v>
      </c>
      <c r="F212" t="s">
        <v>204</v>
      </c>
      <c r="G212" t="s">
        <v>1991</v>
      </c>
      <c r="H212">
        <v>2573</v>
      </c>
      <c r="I212">
        <v>2259</v>
      </c>
      <c r="J212">
        <v>757</v>
      </c>
      <c r="K212">
        <v>3</v>
      </c>
      <c r="L212">
        <v>1961829195</v>
      </c>
      <c r="M212">
        <v>2434293</v>
      </c>
      <c r="N212">
        <v>805.91</v>
      </c>
      <c r="O212">
        <v>68961</v>
      </c>
      <c r="P212">
        <v>2355</v>
      </c>
      <c r="Q212">
        <v>282</v>
      </c>
      <c r="R212" t="s">
        <v>1992</v>
      </c>
      <c r="S212" t="s">
        <v>1993</v>
      </c>
      <c r="T212" t="s">
        <v>1994</v>
      </c>
      <c r="U212" t="s">
        <v>1998</v>
      </c>
    </row>
    <row r="213" spans="1:21">
      <c r="A213" t="s">
        <v>2276</v>
      </c>
      <c r="B213" t="s">
        <v>2277</v>
      </c>
      <c r="C213" t="s">
        <v>2278</v>
      </c>
      <c r="D213" t="s">
        <v>2279</v>
      </c>
      <c r="E213" t="s">
        <v>1982</v>
      </c>
      <c r="F213" t="s">
        <v>204</v>
      </c>
      <c r="G213" t="s">
        <v>1991</v>
      </c>
      <c r="H213">
        <v>5169</v>
      </c>
      <c r="I213">
        <v>190</v>
      </c>
      <c r="J213">
        <v>226</v>
      </c>
      <c r="K213">
        <v>7</v>
      </c>
      <c r="L213">
        <v>997471904</v>
      </c>
      <c r="M213">
        <v>1228096</v>
      </c>
      <c r="N213">
        <v>812.21</v>
      </c>
      <c r="O213">
        <v>108472</v>
      </c>
      <c r="P213">
        <v>3668</v>
      </c>
      <c r="Q213">
        <v>266</v>
      </c>
      <c r="R213" t="s">
        <v>1992</v>
      </c>
      <c r="S213" t="s">
        <v>1993</v>
      </c>
      <c r="T213" t="s">
        <v>1994</v>
      </c>
      <c r="U213" t="s">
        <v>1998</v>
      </c>
    </row>
    <row r="214" spans="1:21">
      <c r="A214" t="s">
        <v>2155</v>
      </c>
      <c r="B214" t="s">
        <v>2156</v>
      </c>
      <c r="C214" t="s">
        <v>2157</v>
      </c>
      <c r="D214" t="s">
        <v>2158</v>
      </c>
      <c r="E214" t="s">
        <v>1982</v>
      </c>
      <c r="F214" t="s">
        <v>204</v>
      </c>
      <c r="G214" t="s">
        <v>1991</v>
      </c>
      <c r="H214">
        <v>5261</v>
      </c>
      <c r="I214">
        <v>167</v>
      </c>
      <c r="J214">
        <v>160</v>
      </c>
      <c r="K214">
        <v>4</v>
      </c>
      <c r="L214">
        <v>1081468229</v>
      </c>
      <c r="M214">
        <v>1367343</v>
      </c>
      <c r="N214">
        <v>790.93</v>
      </c>
      <c r="O214">
        <v>115692</v>
      </c>
      <c r="P214">
        <v>2943</v>
      </c>
      <c r="Q214">
        <v>266</v>
      </c>
      <c r="R214" t="s">
        <v>1992</v>
      </c>
      <c r="S214" t="s">
        <v>1993</v>
      </c>
      <c r="T214" t="s">
        <v>1994</v>
      </c>
      <c r="U214" t="s">
        <v>1998</v>
      </c>
    </row>
    <row r="215" spans="1:21">
      <c r="A215" t="s">
        <v>2364</v>
      </c>
      <c r="B215" t="s">
        <v>2365</v>
      </c>
      <c r="C215" t="s">
        <v>2366</v>
      </c>
      <c r="D215" t="s">
        <v>2367</v>
      </c>
      <c r="E215" t="s">
        <v>1982</v>
      </c>
      <c r="F215" t="s">
        <v>204</v>
      </c>
      <c r="G215" t="s">
        <v>1991</v>
      </c>
      <c r="H215">
        <v>1581</v>
      </c>
      <c r="I215">
        <v>3033</v>
      </c>
      <c r="J215">
        <v>976</v>
      </c>
      <c r="K215">
        <v>2</v>
      </c>
      <c r="L215">
        <v>1974647729</v>
      </c>
      <c r="M215">
        <v>1803560</v>
      </c>
      <c r="N215">
        <v>1094.8599999999999</v>
      </c>
      <c r="O215">
        <v>111711</v>
      </c>
      <c r="P215">
        <v>4693</v>
      </c>
      <c r="Q215">
        <v>308</v>
      </c>
      <c r="R215" t="s">
        <v>1992</v>
      </c>
      <c r="S215" t="s">
        <v>1993</v>
      </c>
      <c r="T215" t="s">
        <v>1994</v>
      </c>
      <c r="U215" t="s">
        <v>1995</v>
      </c>
    </row>
    <row r="216" spans="1:21">
      <c r="A216" t="s">
        <v>2605</v>
      </c>
      <c r="B216" t="s">
        <v>2606</v>
      </c>
      <c r="C216" t="s">
        <v>2607</v>
      </c>
      <c r="D216" t="s">
        <v>2608</v>
      </c>
      <c r="E216" t="s">
        <v>1982</v>
      </c>
      <c r="F216" t="s">
        <v>204</v>
      </c>
      <c r="G216" t="s">
        <v>1991</v>
      </c>
      <c r="H216">
        <v>3291</v>
      </c>
      <c r="I216">
        <v>691</v>
      </c>
      <c r="J216">
        <v>1600</v>
      </c>
      <c r="K216">
        <v>10</v>
      </c>
      <c r="L216">
        <v>4265073551</v>
      </c>
      <c r="M216">
        <v>6959100</v>
      </c>
      <c r="N216">
        <v>612.88</v>
      </c>
      <c r="O216">
        <v>44122</v>
      </c>
      <c r="P216">
        <v>713</v>
      </c>
      <c r="Q216">
        <v>319</v>
      </c>
      <c r="R216" t="s">
        <v>1992</v>
      </c>
      <c r="S216" t="s">
        <v>1993</v>
      </c>
      <c r="T216" t="s">
        <v>1994</v>
      </c>
      <c r="U216" t="s">
        <v>31</v>
      </c>
    </row>
    <row r="217" spans="1:21">
      <c r="A217" t="s">
        <v>2669</v>
      </c>
      <c r="B217" t="s">
        <v>2670</v>
      </c>
      <c r="C217" t="s">
        <v>2671</v>
      </c>
      <c r="D217" t="s">
        <v>2672</v>
      </c>
      <c r="E217" t="s">
        <v>1982</v>
      </c>
      <c r="F217" t="s">
        <v>204</v>
      </c>
      <c r="G217" t="s">
        <v>1991</v>
      </c>
      <c r="H217">
        <v>5316</v>
      </c>
      <c r="I217">
        <v>84</v>
      </c>
      <c r="J217">
        <v>180</v>
      </c>
      <c r="K217">
        <v>12</v>
      </c>
      <c r="L217">
        <v>1676855249</v>
      </c>
      <c r="M217">
        <v>3123665</v>
      </c>
      <c r="N217">
        <v>536.82000000000005</v>
      </c>
      <c r="O217">
        <v>80492</v>
      </c>
      <c r="P217">
        <v>667</v>
      </c>
      <c r="Q217">
        <v>233</v>
      </c>
      <c r="R217" t="s">
        <v>1992</v>
      </c>
      <c r="S217" t="s">
        <v>1993</v>
      </c>
      <c r="T217" t="s">
        <v>1994</v>
      </c>
      <c r="U217" t="s">
        <v>31</v>
      </c>
    </row>
    <row r="218" spans="1:21">
      <c r="A218" t="s">
        <v>2673</v>
      </c>
      <c r="B218" t="s">
        <v>2674</v>
      </c>
      <c r="C218" t="s">
        <v>2675</v>
      </c>
      <c r="D218" t="s">
        <v>2676</v>
      </c>
      <c r="E218" t="s">
        <v>1982</v>
      </c>
      <c r="F218" t="s">
        <v>204</v>
      </c>
      <c r="G218" t="s">
        <v>1991</v>
      </c>
      <c r="H218">
        <v>5132</v>
      </c>
      <c r="I218">
        <v>108</v>
      </c>
      <c r="J218">
        <v>343</v>
      </c>
      <c r="K218">
        <v>9</v>
      </c>
      <c r="L218">
        <v>2733360442</v>
      </c>
      <c r="M218">
        <v>5464995</v>
      </c>
      <c r="N218">
        <v>500.16</v>
      </c>
      <c r="O218">
        <v>60634</v>
      </c>
      <c r="P218">
        <v>551</v>
      </c>
      <c r="Q218">
        <v>240</v>
      </c>
      <c r="R218" t="s">
        <v>1992</v>
      </c>
      <c r="S218" t="s">
        <v>1993</v>
      </c>
      <c r="T218" t="s">
        <v>1994</v>
      </c>
      <c r="U218" t="s">
        <v>31</v>
      </c>
    </row>
    <row r="219" spans="1:21">
      <c r="A219" t="s">
        <v>2665</v>
      </c>
      <c r="B219" t="s">
        <v>2666</v>
      </c>
      <c r="C219" t="s">
        <v>2667</v>
      </c>
      <c r="D219" t="s">
        <v>2668</v>
      </c>
      <c r="E219" t="s">
        <v>1982</v>
      </c>
      <c r="F219" t="s">
        <v>204</v>
      </c>
      <c r="G219" t="s">
        <v>1991</v>
      </c>
      <c r="H219">
        <v>5223</v>
      </c>
      <c r="I219">
        <v>83</v>
      </c>
      <c r="J219">
        <v>281</v>
      </c>
      <c r="K219">
        <v>5</v>
      </c>
      <c r="L219">
        <v>1888390899</v>
      </c>
      <c r="M219">
        <v>4089558</v>
      </c>
      <c r="N219">
        <v>461.76</v>
      </c>
      <c r="O219">
        <v>58222</v>
      </c>
      <c r="P219">
        <v>440</v>
      </c>
      <c r="Q219">
        <v>235</v>
      </c>
      <c r="R219" t="s">
        <v>1992</v>
      </c>
      <c r="S219" t="s">
        <v>1993</v>
      </c>
      <c r="T219" t="s">
        <v>1994</v>
      </c>
      <c r="U219" t="s">
        <v>31</v>
      </c>
    </row>
    <row r="220" spans="1:21">
      <c r="A220" t="s">
        <v>2870</v>
      </c>
      <c r="B220" t="s">
        <v>2871</v>
      </c>
      <c r="C220" t="s">
        <v>2872</v>
      </c>
      <c r="D220" t="s">
        <v>2873</v>
      </c>
      <c r="E220" t="s">
        <v>1982</v>
      </c>
      <c r="F220" t="s">
        <v>204</v>
      </c>
      <c r="G220" t="s">
        <v>1991</v>
      </c>
      <c r="H220">
        <v>5401</v>
      </c>
      <c r="I220">
        <v>91</v>
      </c>
      <c r="J220">
        <v>96</v>
      </c>
      <c r="K220">
        <v>4</v>
      </c>
      <c r="L220">
        <v>796770913</v>
      </c>
      <c r="M220">
        <v>850002</v>
      </c>
      <c r="N220">
        <v>937.38</v>
      </c>
      <c r="O220">
        <v>228559</v>
      </c>
      <c r="P220">
        <v>8040</v>
      </c>
      <c r="Q220">
        <v>276</v>
      </c>
      <c r="R220" t="s">
        <v>1992</v>
      </c>
      <c r="S220" t="s">
        <v>1993</v>
      </c>
      <c r="T220" t="s">
        <v>1994</v>
      </c>
      <c r="U220" t="s">
        <v>2710</v>
      </c>
    </row>
    <row r="221" spans="1:21">
      <c r="A221" t="s">
        <v>3167</v>
      </c>
      <c r="B221" t="s">
        <v>3168</v>
      </c>
      <c r="C221" t="s">
        <v>3169</v>
      </c>
      <c r="D221" t="s">
        <v>3170</v>
      </c>
      <c r="E221" t="s">
        <v>1982</v>
      </c>
      <c r="F221" t="s">
        <v>204</v>
      </c>
      <c r="G221" t="s">
        <v>1991</v>
      </c>
      <c r="H221">
        <v>1920</v>
      </c>
      <c r="I221">
        <v>2745</v>
      </c>
      <c r="J221">
        <v>927</v>
      </c>
      <c r="K221">
        <v>0</v>
      </c>
      <c r="L221">
        <v>1808672835</v>
      </c>
      <c r="M221">
        <v>1527807</v>
      </c>
      <c r="N221">
        <v>1183.8399999999999</v>
      </c>
      <c r="O221">
        <v>63401</v>
      </c>
      <c r="P221">
        <v>4284</v>
      </c>
      <c r="Q221">
        <v>331</v>
      </c>
      <c r="R221" t="s">
        <v>1992</v>
      </c>
      <c r="S221" t="s">
        <v>1993</v>
      </c>
      <c r="T221" t="s">
        <v>1994</v>
      </c>
      <c r="U221" t="s">
        <v>2001</v>
      </c>
    </row>
    <row r="222" spans="1:21">
      <c r="A222" t="s">
        <v>3131</v>
      </c>
      <c r="B222" t="s">
        <v>3132</v>
      </c>
      <c r="C222" t="s">
        <v>3133</v>
      </c>
      <c r="D222" t="s">
        <v>3134</v>
      </c>
      <c r="E222" t="s">
        <v>1982</v>
      </c>
      <c r="F222" t="s">
        <v>204</v>
      </c>
      <c r="G222" t="s">
        <v>1991</v>
      </c>
      <c r="H222">
        <v>1783</v>
      </c>
      <c r="I222">
        <v>2564</v>
      </c>
      <c r="J222">
        <v>1245</v>
      </c>
      <c r="K222">
        <v>0</v>
      </c>
      <c r="L222">
        <v>3095837342</v>
      </c>
      <c r="M222">
        <v>4196360</v>
      </c>
      <c r="N222">
        <v>737.74</v>
      </c>
      <c r="O222">
        <v>54571</v>
      </c>
      <c r="P222">
        <v>1187</v>
      </c>
      <c r="Q222">
        <v>306</v>
      </c>
      <c r="R222" t="s">
        <v>1992</v>
      </c>
      <c r="S222" t="s">
        <v>1993</v>
      </c>
      <c r="T222" t="s">
        <v>1994</v>
      </c>
      <c r="U222" t="s">
        <v>2001</v>
      </c>
    </row>
    <row r="223" spans="1:21">
      <c r="A223" t="s">
        <v>3187</v>
      </c>
      <c r="B223" t="s">
        <v>3188</v>
      </c>
      <c r="C223" t="s">
        <v>3189</v>
      </c>
      <c r="D223" t="s">
        <v>3190</v>
      </c>
      <c r="E223" t="s">
        <v>1982</v>
      </c>
      <c r="F223" t="s">
        <v>204</v>
      </c>
      <c r="G223" t="s">
        <v>1991</v>
      </c>
      <c r="H223">
        <v>5172</v>
      </c>
      <c r="I223">
        <v>177</v>
      </c>
      <c r="J223">
        <v>237</v>
      </c>
      <c r="K223">
        <v>6</v>
      </c>
      <c r="L223">
        <v>915108482</v>
      </c>
      <c r="M223">
        <v>978804</v>
      </c>
      <c r="N223">
        <v>934.93</v>
      </c>
      <c r="O223">
        <v>115758</v>
      </c>
      <c r="P223">
        <v>5152</v>
      </c>
      <c r="Q223">
        <v>282</v>
      </c>
      <c r="R223" t="s">
        <v>1992</v>
      </c>
      <c r="S223" t="s">
        <v>1993</v>
      </c>
      <c r="T223" t="s">
        <v>1994</v>
      </c>
      <c r="U223" t="s">
        <v>1998</v>
      </c>
    </row>
    <row r="224" spans="1:21">
      <c r="A224" t="s">
        <v>3211</v>
      </c>
      <c r="B224" t="s">
        <v>3212</v>
      </c>
      <c r="C224" t="s">
        <v>3213</v>
      </c>
      <c r="D224" t="s">
        <v>3214</v>
      </c>
      <c r="E224" t="s">
        <v>31</v>
      </c>
      <c r="F224" t="s">
        <v>204</v>
      </c>
      <c r="G224" t="s">
        <v>1991</v>
      </c>
      <c r="H224">
        <v>5163</v>
      </c>
      <c r="I224">
        <v>191</v>
      </c>
      <c r="J224">
        <v>232</v>
      </c>
      <c r="K224">
        <v>6</v>
      </c>
      <c r="L224">
        <v>914254213</v>
      </c>
      <c r="M224">
        <v>1005627</v>
      </c>
      <c r="N224">
        <v>909.14</v>
      </c>
      <c r="O224">
        <v>110177</v>
      </c>
      <c r="P224">
        <v>4970</v>
      </c>
      <c r="Q224">
        <v>279</v>
      </c>
      <c r="R224" t="s">
        <v>1992</v>
      </c>
      <c r="S224" t="s">
        <v>1993</v>
      </c>
      <c r="T224" t="s">
        <v>1994</v>
      </c>
      <c r="U224" t="s">
        <v>1998</v>
      </c>
    </row>
    <row r="225" spans="1:21">
      <c r="A225" t="s">
        <v>3218</v>
      </c>
      <c r="B225" t="s">
        <v>3219</v>
      </c>
      <c r="C225" t="s">
        <v>3220</v>
      </c>
      <c r="D225" t="s">
        <v>3221</v>
      </c>
      <c r="E225" t="s">
        <v>1982</v>
      </c>
      <c r="F225" t="s">
        <v>204</v>
      </c>
      <c r="G225" t="s">
        <v>1991</v>
      </c>
      <c r="H225">
        <v>5176</v>
      </c>
      <c r="I225">
        <v>187</v>
      </c>
      <c r="J225">
        <v>222</v>
      </c>
      <c r="K225">
        <v>7</v>
      </c>
      <c r="L225">
        <v>950181201</v>
      </c>
      <c r="M225">
        <v>1235992</v>
      </c>
      <c r="N225">
        <v>768.76</v>
      </c>
      <c r="O225">
        <v>97479</v>
      </c>
      <c r="P225">
        <v>3177</v>
      </c>
      <c r="Q225">
        <v>261</v>
      </c>
      <c r="R225" t="s">
        <v>1992</v>
      </c>
      <c r="S225" t="s">
        <v>1993</v>
      </c>
      <c r="T225" t="s">
        <v>1994</v>
      </c>
      <c r="U225" t="s">
        <v>1998</v>
      </c>
    </row>
    <row r="226" spans="1:21">
      <c r="A226" t="s">
        <v>3226</v>
      </c>
      <c r="B226" t="s">
        <v>3227</v>
      </c>
      <c r="C226" t="s">
        <v>3228</v>
      </c>
      <c r="D226" t="s">
        <v>3229</v>
      </c>
      <c r="E226" t="s">
        <v>1982</v>
      </c>
      <c r="F226" t="s">
        <v>204</v>
      </c>
      <c r="G226" t="s">
        <v>1991</v>
      </c>
      <c r="H226">
        <v>5148</v>
      </c>
      <c r="I226">
        <v>195</v>
      </c>
      <c r="J226">
        <v>241</v>
      </c>
      <c r="K226">
        <v>8</v>
      </c>
      <c r="L226">
        <v>1042146925</v>
      </c>
      <c r="M226">
        <v>1600812</v>
      </c>
      <c r="N226">
        <v>651.01</v>
      </c>
      <c r="O226">
        <v>90780</v>
      </c>
      <c r="P226">
        <v>1838</v>
      </c>
      <c r="Q226">
        <v>241</v>
      </c>
      <c r="R226" t="s">
        <v>1992</v>
      </c>
      <c r="S226" t="s">
        <v>1993</v>
      </c>
      <c r="T226" t="s">
        <v>1994</v>
      </c>
      <c r="U226" t="s">
        <v>1998</v>
      </c>
    </row>
    <row r="227" spans="1:21">
      <c r="A227" t="s">
        <v>3293</v>
      </c>
      <c r="B227" t="s">
        <v>3294</v>
      </c>
      <c r="C227" t="s">
        <v>3295</v>
      </c>
      <c r="D227" t="s">
        <v>3296</v>
      </c>
      <c r="E227" t="s">
        <v>1982</v>
      </c>
      <c r="F227" t="s">
        <v>204</v>
      </c>
      <c r="G227" t="s">
        <v>1991</v>
      </c>
      <c r="H227">
        <v>5184</v>
      </c>
      <c r="I227">
        <v>175</v>
      </c>
      <c r="J227">
        <v>226</v>
      </c>
      <c r="K227">
        <v>7</v>
      </c>
      <c r="L227">
        <v>1025506945</v>
      </c>
      <c r="M227">
        <v>1418740</v>
      </c>
      <c r="N227">
        <v>722.83</v>
      </c>
      <c r="O227">
        <v>82920</v>
      </c>
      <c r="P227">
        <v>2860</v>
      </c>
      <c r="Q227">
        <v>249</v>
      </c>
      <c r="R227" t="s">
        <v>1992</v>
      </c>
      <c r="S227" t="s">
        <v>1993</v>
      </c>
      <c r="T227" t="s">
        <v>1994</v>
      </c>
      <c r="U227" t="s">
        <v>1998</v>
      </c>
    </row>
    <row r="228" spans="1:21">
      <c r="A228" t="s">
        <v>2987</v>
      </c>
      <c r="B228" t="s">
        <v>2987</v>
      </c>
      <c r="C228" t="s">
        <v>641</v>
      </c>
      <c r="D228" t="s">
        <v>2988</v>
      </c>
      <c r="E228" t="s">
        <v>1982</v>
      </c>
      <c r="F228" t="s">
        <v>204</v>
      </c>
      <c r="G228" t="s">
        <v>1991</v>
      </c>
      <c r="H228">
        <v>1896</v>
      </c>
      <c r="I228">
        <v>2068</v>
      </c>
      <c r="J228">
        <v>1628</v>
      </c>
      <c r="K228">
        <v>0</v>
      </c>
      <c r="L228">
        <v>6544469013</v>
      </c>
      <c r="M228">
        <v>12108191</v>
      </c>
      <c r="N228">
        <v>540.5</v>
      </c>
      <c r="O228">
        <v>77276</v>
      </c>
      <c r="P228">
        <v>691</v>
      </c>
      <c r="Q228">
        <v>240</v>
      </c>
      <c r="R228" t="s">
        <v>1992</v>
      </c>
      <c r="S228" t="s">
        <v>1993</v>
      </c>
      <c r="T228" t="s">
        <v>1994</v>
      </c>
      <c r="U228" t="s">
        <v>2001</v>
      </c>
    </row>
    <row r="229" spans="1:21">
      <c r="A229" t="s">
        <v>3141</v>
      </c>
      <c r="B229" t="s">
        <v>3141</v>
      </c>
      <c r="C229" t="s">
        <v>3139</v>
      </c>
      <c r="D229" t="s">
        <v>3142</v>
      </c>
      <c r="E229" t="s">
        <v>1982</v>
      </c>
      <c r="F229" t="s">
        <v>204</v>
      </c>
      <c r="G229" t="s">
        <v>1991</v>
      </c>
      <c r="H229">
        <v>1845</v>
      </c>
      <c r="I229">
        <v>2457</v>
      </c>
      <c r="J229">
        <v>1290</v>
      </c>
      <c r="K229">
        <v>0</v>
      </c>
      <c r="L229">
        <v>5997323557</v>
      </c>
      <c r="M229">
        <v>9732982</v>
      </c>
      <c r="N229">
        <v>616.19000000000005</v>
      </c>
      <c r="O229">
        <v>70350</v>
      </c>
      <c r="P229">
        <v>988</v>
      </c>
      <c r="Q229">
        <v>257</v>
      </c>
      <c r="R229" t="s">
        <v>1992</v>
      </c>
      <c r="S229" t="s">
        <v>1993</v>
      </c>
      <c r="T229" t="s">
        <v>1994</v>
      </c>
      <c r="U229" t="s">
        <v>2001</v>
      </c>
    </row>
    <row r="230" spans="1:21">
      <c r="A230" t="s">
        <v>3474</v>
      </c>
      <c r="B230" t="s">
        <v>3474</v>
      </c>
      <c r="C230" t="s">
        <v>3475</v>
      </c>
      <c r="D230" t="s">
        <v>3476</v>
      </c>
      <c r="E230" t="s">
        <v>1982</v>
      </c>
      <c r="F230" t="s">
        <v>204</v>
      </c>
      <c r="G230" t="s">
        <v>1991</v>
      </c>
      <c r="H230">
        <v>1918</v>
      </c>
      <c r="I230">
        <v>2264</v>
      </c>
      <c r="J230">
        <v>1410</v>
      </c>
      <c r="K230">
        <v>0</v>
      </c>
      <c r="L230">
        <v>7387444112</v>
      </c>
      <c r="M230">
        <v>12322396</v>
      </c>
      <c r="N230">
        <v>599.51</v>
      </c>
      <c r="O230">
        <v>47502</v>
      </c>
      <c r="P230">
        <v>846</v>
      </c>
      <c r="Q230">
        <v>264</v>
      </c>
      <c r="R230" t="s">
        <v>1992</v>
      </c>
      <c r="S230" t="s">
        <v>1993</v>
      </c>
      <c r="T230" t="s">
        <v>1994</v>
      </c>
      <c r="U230" t="s">
        <v>3460</v>
      </c>
    </row>
    <row r="231" spans="1:21">
      <c r="A231" t="s">
        <v>2587</v>
      </c>
      <c r="B231" t="s">
        <v>2587</v>
      </c>
      <c r="C231" t="s">
        <v>2588</v>
      </c>
      <c r="D231" t="s">
        <v>2589</v>
      </c>
      <c r="E231" t="s">
        <v>1982</v>
      </c>
      <c r="F231" t="s">
        <v>204</v>
      </c>
      <c r="G231" t="s">
        <v>1991</v>
      </c>
      <c r="H231">
        <v>1849</v>
      </c>
      <c r="I231">
        <v>2112</v>
      </c>
      <c r="J231">
        <v>1622</v>
      </c>
      <c r="K231">
        <v>9</v>
      </c>
      <c r="L231">
        <v>8471268634</v>
      </c>
      <c r="M231">
        <v>15144098</v>
      </c>
      <c r="N231">
        <v>559.38</v>
      </c>
      <c r="O231">
        <v>99554</v>
      </c>
      <c r="P231">
        <v>707</v>
      </c>
      <c r="Q231">
        <v>253</v>
      </c>
      <c r="R231" t="s">
        <v>1992</v>
      </c>
      <c r="S231" t="s">
        <v>1993</v>
      </c>
      <c r="T231" t="s">
        <v>1994</v>
      </c>
      <c r="U231" t="s">
        <v>31</v>
      </c>
    </row>
    <row r="232" spans="1:21">
      <c r="A232" t="s">
        <v>2825</v>
      </c>
      <c r="B232" t="s">
        <v>2825</v>
      </c>
      <c r="C232" t="s">
        <v>2826</v>
      </c>
      <c r="D232" t="s">
        <v>2827</v>
      </c>
      <c r="E232" t="s">
        <v>1982</v>
      </c>
      <c r="F232" t="s">
        <v>204</v>
      </c>
      <c r="G232" t="s">
        <v>1991</v>
      </c>
      <c r="H232">
        <v>2442</v>
      </c>
      <c r="I232">
        <v>1499</v>
      </c>
      <c r="J232">
        <v>1648</v>
      </c>
      <c r="K232">
        <v>3</v>
      </c>
      <c r="L232">
        <v>3342540579</v>
      </c>
      <c r="M232">
        <v>6704770</v>
      </c>
      <c r="N232">
        <v>498.53</v>
      </c>
      <c r="O232">
        <v>49973</v>
      </c>
      <c r="P232">
        <v>584</v>
      </c>
      <c r="Q232">
        <v>231</v>
      </c>
      <c r="R232" t="s">
        <v>1992</v>
      </c>
      <c r="S232" t="s">
        <v>1993</v>
      </c>
      <c r="T232" t="s">
        <v>1994</v>
      </c>
      <c r="U232" t="s">
        <v>1998</v>
      </c>
    </row>
    <row r="233" spans="1:21">
      <c r="A233" t="s">
        <v>3461</v>
      </c>
      <c r="B233" t="s">
        <v>3461</v>
      </c>
      <c r="C233" t="s">
        <v>3462</v>
      </c>
      <c r="D233" t="s">
        <v>3463</v>
      </c>
      <c r="E233" t="s">
        <v>1982</v>
      </c>
      <c r="F233" t="s">
        <v>204</v>
      </c>
      <c r="G233" t="s">
        <v>1991</v>
      </c>
      <c r="H233">
        <v>2950</v>
      </c>
      <c r="I233">
        <v>1939</v>
      </c>
      <c r="J233">
        <v>702</v>
      </c>
      <c r="K233">
        <v>1</v>
      </c>
      <c r="L233">
        <v>5667200995</v>
      </c>
      <c r="M233">
        <v>8603086</v>
      </c>
      <c r="N233">
        <v>658.74</v>
      </c>
      <c r="O233">
        <v>63408</v>
      </c>
      <c r="P233">
        <v>992</v>
      </c>
      <c r="Q233">
        <v>283</v>
      </c>
      <c r="R233" t="s">
        <v>1992</v>
      </c>
      <c r="S233" t="s">
        <v>1993</v>
      </c>
      <c r="T233" t="s">
        <v>1994</v>
      </c>
      <c r="U233" t="s">
        <v>3460</v>
      </c>
    </row>
    <row r="234" spans="1:21">
      <c r="A234" t="s">
        <v>3490</v>
      </c>
      <c r="B234" t="s">
        <v>3490</v>
      </c>
      <c r="C234" t="s">
        <v>3491</v>
      </c>
      <c r="D234" t="s">
        <v>3492</v>
      </c>
      <c r="E234" t="s">
        <v>1982</v>
      </c>
      <c r="F234" t="s">
        <v>204</v>
      </c>
      <c r="G234" t="s">
        <v>1991</v>
      </c>
      <c r="H234">
        <v>1683</v>
      </c>
      <c r="I234">
        <v>2268</v>
      </c>
      <c r="J234">
        <v>1641</v>
      </c>
      <c r="K234">
        <v>0</v>
      </c>
      <c r="L234">
        <v>7729828547</v>
      </c>
      <c r="M234">
        <v>12526057</v>
      </c>
      <c r="N234">
        <v>617.1</v>
      </c>
      <c r="O234">
        <v>47417</v>
      </c>
      <c r="P234">
        <v>800</v>
      </c>
      <c r="Q234">
        <v>283</v>
      </c>
      <c r="R234" t="s">
        <v>1992</v>
      </c>
      <c r="S234" t="s">
        <v>1993</v>
      </c>
      <c r="T234" t="s">
        <v>1994</v>
      </c>
      <c r="U234" t="s">
        <v>3460</v>
      </c>
    </row>
    <row r="235" spans="1:21">
      <c r="A235" t="s">
        <v>3477</v>
      </c>
      <c r="B235" t="s">
        <v>3477</v>
      </c>
      <c r="C235" t="s">
        <v>3478</v>
      </c>
      <c r="D235" t="s">
        <v>3479</v>
      </c>
      <c r="E235" t="s">
        <v>1982</v>
      </c>
      <c r="F235" t="s">
        <v>204</v>
      </c>
      <c r="G235" t="s">
        <v>1991</v>
      </c>
      <c r="H235">
        <v>2383</v>
      </c>
      <c r="I235">
        <v>2070</v>
      </c>
      <c r="J235">
        <v>1139</v>
      </c>
      <c r="K235">
        <v>0</v>
      </c>
      <c r="L235">
        <v>4499110472</v>
      </c>
      <c r="M235">
        <v>6175558</v>
      </c>
      <c r="N235">
        <v>728.54</v>
      </c>
      <c r="O235">
        <v>58071</v>
      </c>
      <c r="P235">
        <v>1214</v>
      </c>
      <c r="Q235">
        <v>283</v>
      </c>
      <c r="R235" t="s">
        <v>1992</v>
      </c>
      <c r="S235" t="s">
        <v>1993</v>
      </c>
      <c r="T235" t="s">
        <v>1994</v>
      </c>
      <c r="U235" t="s">
        <v>3460</v>
      </c>
    </row>
    <row r="236" spans="1:21">
      <c r="A236" t="s">
        <v>2136</v>
      </c>
      <c r="B236" t="s">
        <v>2136</v>
      </c>
      <c r="C236" t="s">
        <v>2137</v>
      </c>
      <c r="D236" t="s">
        <v>2138</v>
      </c>
      <c r="E236" t="s">
        <v>1982</v>
      </c>
      <c r="F236" t="s">
        <v>204</v>
      </c>
      <c r="G236" t="s">
        <v>1991</v>
      </c>
      <c r="H236">
        <v>1571</v>
      </c>
      <c r="I236">
        <v>2914</v>
      </c>
      <c r="J236">
        <v>1106</v>
      </c>
      <c r="K236">
        <v>1</v>
      </c>
      <c r="L236">
        <v>2918951540</v>
      </c>
      <c r="M236">
        <v>3921003</v>
      </c>
      <c r="N236">
        <v>744.44</v>
      </c>
      <c r="O236">
        <v>82665</v>
      </c>
      <c r="P236">
        <v>2421</v>
      </c>
      <c r="Q236">
        <v>264</v>
      </c>
      <c r="R236" t="s">
        <v>1992</v>
      </c>
      <c r="S236" t="s">
        <v>1993</v>
      </c>
      <c r="T236" t="s">
        <v>1994</v>
      </c>
      <c r="U236" t="s">
        <v>1998</v>
      </c>
    </row>
    <row r="237" spans="1:21">
      <c r="A237" t="s">
        <v>3284</v>
      </c>
      <c r="B237" t="s">
        <v>3284</v>
      </c>
      <c r="C237" t="s">
        <v>3285</v>
      </c>
      <c r="D237" t="s">
        <v>3286</v>
      </c>
      <c r="E237" t="s">
        <v>1982</v>
      </c>
      <c r="F237" t="s">
        <v>204</v>
      </c>
      <c r="G237" t="s">
        <v>1991</v>
      </c>
      <c r="H237">
        <v>2143</v>
      </c>
      <c r="I237">
        <v>1641</v>
      </c>
      <c r="J237">
        <v>1804</v>
      </c>
      <c r="K237">
        <v>4</v>
      </c>
      <c r="L237">
        <v>2752573308</v>
      </c>
      <c r="M237">
        <v>4460401</v>
      </c>
      <c r="N237">
        <v>617.11</v>
      </c>
      <c r="O237">
        <v>86541</v>
      </c>
      <c r="P237">
        <v>1039</v>
      </c>
      <c r="Q237">
        <v>253</v>
      </c>
      <c r="R237" t="s">
        <v>1992</v>
      </c>
      <c r="S237" t="s">
        <v>1993</v>
      </c>
      <c r="T237" t="s">
        <v>1994</v>
      </c>
      <c r="U237" t="s">
        <v>1998</v>
      </c>
    </row>
    <row r="238" spans="1:21">
      <c r="A238" t="s">
        <v>3303</v>
      </c>
      <c r="B238" t="s">
        <v>3303</v>
      </c>
      <c r="C238" t="s">
        <v>3304</v>
      </c>
      <c r="D238" t="s">
        <v>3305</v>
      </c>
      <c r="E238" t="s">
        <v>1982</v>
      </c>
      <c r="F238" t="s">
        <v>204</v>
      </c>
      <c r="G238" t="s">
        <v>1991</v>
      </c>
      <c r="H238">
        <v>2929</v>
      </c>
      <c r="I238">
        <v>1350</v>
      </c>
      <c r="J238">
        <v>1310</v>
      </c>
      <c r="K238">
        <v>3</v>
      </c>
      <c r="L238">
        <v>3022663520</v>
      </c>
      <c r="M238">
        <v>6915326</v>
      </c>
      <c r="N238">
        <v>437.1</v>
      </c>
      <c r="O238">
        <v>70395</v>
      </c>
      <c r="P238">
        <v>396</v>
      </c>
      <c r="Q238">
        <v>225</v>
      </c>
      <c r="R238" t="s">
        <v>1992</v>
      </c>
      <c r="S238" t="s">
        <v>1993</v>
      </c>
      <c r="T238" t="s">
        <v>1994</v>
      </c>
      <c r="U238" t="s">
        <v>1998</v>
      </c>
    </row>
    <row r="239" spans="1:21">
      <c r="A239" t="s">
        <v>2432</v>
      </c>
      <c r="B239" t="s">
        <v>2432</v>
      </c>
      <c r="C239" t="s">
        <v>2433</v>
      </c>
      <c r="D239" t="s">
        <v>2434</v>
      </c>
      <c r="E239" t="s">
        <v>1982</v>
      </c>
      <c r="F239" t="s">
        <v>204</v>
      </c>
      <c r="G239" t="s">
        <v>1991</v>
      </c>
      <c r="H239">
        <v>4326</v>
      </c>
      <c r="I239">
        <v>504</v>
      </c>
      <c r="J239">
        <v>757</v>
      </c>
      <c r="K239">
        <v>5</v>
      </c>
      <c r="L239">
        <v>1474906357</v>
      </c>
      <c r="M239">
        <v>2303630</v>
      </c>
      <c r="N239">
        <v>640.25</v>
      </c>
      <c r="O239">
        <v>63642</v>
      </c>
      <c r="P239">
        <v>905</v>
      </c>
      <c r="Q239">
        <v>283</v>
      </c>
      <c r="R239" t="s">
        <v>1992</v>
      </c>
      <c r="S239" t="s">
        <v>1993</v>
      </c>
      <c r="T239" t="s">
        <v>1994</v>
      </c>
      <c r="U239" t="s">
        <v>2010</v>
      </c>
    </row>
    <row r="240" spans="1:21">
      <c r="A240" t="s">
        <v>3050</v>
      </c>
      <c r="B240" t="s">
        <v>3050</v>
      </c>
      <c r="C240" t="s">
        <v>3051</v>
      </c>
      <c r="D240" t="s">
        <v>3052</v>
      </c>
      <c r="E240" t="s">
        <v>1982</v>
      </c>
      <c r="F240" t="s">
        <v>204</v>
      </c>
      <c r="G240" t="s">
        <v>1991</v>
      </c>
      <c r="H240">
        <v>4475</v>
      </c>
      <c r="I240">
        <v>340</v>
      </c>
      <c r="J240">
        <v>774</v>
      </c>
      <c r="K240">
        <v>3</v>
      </c>
      <c r="L240">
        <v>1020030065</v>
      </c>
      <c r="M240">
        <v>1558921</v>
      </c>
      <c r="N240">
        <v>654.32000000000005</v>
      </c>
      <c r="O240">
        <v>81458</v>
      </c>
      <c r="P240">
        <v>1020</v>
      </c>
      <c r="Q240">
        <v>278</v>
      </c>
      <c r="R240" t="s">
        <v>1992</v>
      </c>
      <c r="S240" t="s">
        <v>1993</v>
      </c>
      <c r="T240" t="s">
        <v>1994</v>
      </c>
      <c r="U240" t="s">
        <v>2289</v>
      </c>
    </row>
    <row r="241" spans="1:21">
      <c r="A241" t="s">
        <v>3108</v>
      </c>
      <c r="B241" t="s">
        <v>3108</v>
      </c>
      <c r="C241" t="s">
        <v>3109</v>
      </c>
      <c r="D241" t="s">
        <v>3110</v>
      </c>
      <c r="E241" t="s">
        <v>31</v>
      </c>
      <c r="F241" t="s">
        <v>204</v>
      </c>
      <c r="G241" t="s">
        <v>1991</v>
      </c>
      <c r="H241">
        <v>4708</v>
      </c>
      <c r="I241">
        <v>98</v>
      </c>
      <c r="J241">
        <v>781</v>
      </c>
      <c r="K241">
        <v>5</v>
      </c>
      <c r="L241">
        <v>1086543371</v>
      </c>
      <c r="M241">
        <v>1230226</v>
      </c>
      <c r="N241">
        <v>883.21</v>
      </c>
      <c r="O241">
        <v>45025</v>
      </c>
      <c r="P241">
        <v>2076</v>
      </c>
      <c r="Q241">
        <v>305</v>
      </c>
      <c r="R241" t="s">
        <v>1992</v>
      </c>
      <c r="S241" t="s">
        <v>1993</v>
      </c>
      <c r="T241" t="s">
        <v>1994</v>
      </c>
      <c r="U241" t="s">
        <v>2446</v>
      </c>
    </row>
    <row r="242" spans="1:21">
      <c r="A242" t="s">
        <v>2112</v>
      </c>
      <c r="B242" t="s">
        <v>2112</v>
      </c>
      <c r="C242" t="s">
        <v>2113</v>
      </c>
      <c r="D242" t="s">
        <v>2114</v>
      </c>
      <c r="E242" t="s">
        <v>1982</v>
      </c>
      <c r="F242" t="s">
        <v>204</v>
      </c>
      <c r="G242" t="s">
        <v>1991</v>
      </c>
      <c r="H242">
        <v>5284</v>
      </c>
      <c r="I242">
        <v>136</v>
      </c>
      <c r="J242">
        <v>168</v>
      </c>
      <c r="K242">
        <v>4</v>
      </c>
      <c r="L242">
        <v>1108268996</v>
      </c>
      <c r="M242">
        <v>1661124</v>
      </c>
      <c r="N242">
        <v>667.18</v>
      </c>
      <c r="O242">
        <v>78774</v>
      </c>
      <c r="P242">
        <v>1787</v>
      </c>
      <c r="Q242">
        <v>245</v>
      </c>
      <c r="R242" t="s">
        <v>1992</v>
      </c>
      <c r="S242" t="s">
        <v>1993</v>
      </c>
      <c r="T242" t="s">
        <v>1994</v>
      </c>
      <c r="U242" t="s">
        <v>1998</v>
      </c>
    </row>
    <row r="243" spans="1:21">
      <c r="A243" t="s">
        <v>2211</v>
      </c>
      <c r="B243" t="s">
        <v>2211</v>
      </c>
      <c r="C243" t="s">
        <v>2212</v>
      </c>
      <c r="D243" t="s">
        <v>2213</v>
      </c>
      <c r="E243" t="s">
        <v>1982</v>
      </c>
      <c r="F243" t="s">
        <v>204</v>
      </c>
      <c r="G243" t="s">
        <v>1991</v>
      </c>
      <c r="H243">
        <v>3855</v>
      </c>
      <c r="I243">
        <v>620</v>
      </c>
      <c r="J243">
        <v>1115</v>
      </c>
      <c r="K243">
        <v>2</v>
      </c>
      <c r="L243">
        <v>1888997680</v>
      </c>
      <c r="M243">
        <v>3381500</v>
      </c>
      <c r="N243">
        <v>558.63</v>
      </c>
      <c r="O243">
        <v>50413</v>
      </c>
      <c r="P243">
        <v>689</v>
      </c>
      <c r="Q243">
        <v>261</v>
      </c>
      <c r="R243" t="s">
        <v>1992</v>
      </c>
      <c r="S243" t="s">
        <v>1993</v>
      </c>
      <c r="T243" t="s">
        <v>1994</v>
      </c>
      <c r="U243" t="s">
        <v>1998</v>
      </c>
    </row>
    <row r="244" spans="1:21">
      <c r="A244" t="s">
        <v>2075</v>
      </c>
      <c r="B244" t="s">
        <v>2075</v>
      </c>
      <c r="C244" t="s">
        <v>2076</v>
      </c>
      <c r="D244" t="s">
        <v>2077</v>
      </c>
      <c r="E244" t="s">
        <v>1982</v>
      </c>
      <c r="F244" t="s">
        <v>204</v>
      </c>
      <c r="G244" t="s">
        <v>1991</v>
      </c>
      <c r="H244">
        <v>1129</v>
      </c>
      <c r="I244">
        <v>3522</v>
      </c>
      <c r="J244">
        <v>939</v>
      </c>
      <c r="K244">
        <v>2</v>
      </c>
      <c r="L244">
        <v>2079259651</v>
      </c>
      <c r="M244">
        <v>3059466</v>
      </c>
      <c r="N244">
        <v>679.62</v>
      </c>
      <c r="O244">
        <v>65706</v>
      </c>
      <c r="P244">
        <v>1540</v>
      </c>
      <c r="Q244">
        <v>256</v>
      </c>
      <c r="R244" t="s">
        <v>1992</v>
      </c>
      <c r="S244" t="s">
        <v>1993</v>
      </c>
      <c r="T244" t="s">
        <v>1994</v>
      </c>
      <c r="U244" t="s">
        <v>1998</v>
      </c>
    </row>
    <row r="245" spans="1:21">
      <c r="A245" t="s">
        <v>1989</v>
      </c>
      <c r="B245" t="s">
        <v>1989</v>
      </c>
      <c r="C245" t="s">
        <v>1990</v>
      </c>
      <c r="D245" t="s">
        <v>31</v>
      </c>
      <c r="E245" t="s">
        <v>1982</v>
      </c>
      <c r="F245" t="s">
        <v>204</v>
      </c>
      <c r="G245" t="s">
        <v>1991</v>
      </c>
      <c r="H245">
        <v>4944</v>
      </c>
      <c r="I245">
        <v>336</v>
      </c>
      <c r="J245">
        <v>311</v>
      </c>
      <c r="K245">
        <v>1</v>
      </c>
      <c r="L245">
        <v>752260957</v>
      </c>
      <c r="M245">
        <v>1089271</v>
      </c>
      <c r="N245">
        <v>690.61</v>
      </c>
      <c r="O245">
        <v>87052</v>
      </c>
      <c r="P245">
        <v>2000</v>
      </c>
      <c r="Q245">
        <v>253</v>
      </c>
      <c r="R245" t="s">
        <v>1992</v>
      </c>
      <c r="S245" t="s">
        <v>1993</v>
      </c>
      <c r="T245" t="s">
        <v>1994</v>
      </c>
      <c r="U245" t="s">
        <v>1995</v>
      </c>
    </row>
    <row r="246" spans="1:21">
      <c r="A246" t="s">
        <v>2298</v>
      </c>
      <c r="B246" t="s">
        <v>2298</v>
      </c>
      <c r="C246" t="s">
        <v>2299</v>
      </c>
      <c r="D246" t="s">
        <v>2300</v>
      </c>
      <c r="E246" t="s">
        <v>1987</v>
      </c>
      <c r="F246" t="s">
        <v>204</v>
      </c>
      <c r="G246" t="s">
        <v>1991</v>
      </c>
      <c r="H246">
        <v>660</v>
      </c>
      <c r="I246">
        <v>4265</v>
      </c>
      <c r="J246">
        <v>662</v>
      </c>
      <c r="K246">
        <v>5</v>
      </c>
      <c r="L246">
        <v>1285468049</v>
      </c>
      <c r="M246">
        <v>1771291</v>
      </c>
      <c r="N246">
        <v>725.72</v>
      </c>
      <c r="O246">
        <v>90521</v>
      </c>
      <c r="P246">
        <v>2687</v>
      </c>
      <c r="Q246">
        <v>250</v>
      </c>
      <c r="R246" t="s">
        <v>1992</v>
      </c>
      <c r="S246" t="s">
        <v>1993</v>
      </c>
      <c r="T246" t="s">
        <v>1994</v>
      </c>
      <c r="U246" t="s">
        <v>2294</v>
      </c>
    </row>
    <row r="247" spans="1:21">
      <c r="A247" t="s">
        <v>2343</v>
      </c>
      <c r="B247" t="s">
        <v>2343</v>
      </c>
      <c r="C247" t="s">
        <v>2344</v>
      </c>
      <c r="D247" t="s">
        <v>2345</v>
      </c>
      <c r="E247" t="s">
        <v>1982</v>
      </c>
      <c r="F247" t="s">
        <v>204</v>
      </c>
      <c r="G247" t="s">
        <v>1991</v>
      </c>
      <c r="H247">
        <v>1611</v>
      </c>
      <c r="I247">
        <v>3180</v>
      </c>
      <c r="J247">
        <v>799</v>
      </c>
      <c r="K247">
        <v>2</v>
      </c>
      <c r="L247">
        <v>2172091947</v>
      </c>
      <c r="M247">
        <v>2447150</v>
      </c>
      <c r="N247">
        <v>887.6</v>
      </c>
      <c r="O247">
        <v>179042</v>
      </c>
      <c r="P247">
        <v>4614</v>
      </c>
      <c r="Q247">
        <v>276</v>
      </c>
      <c r="R247" t="s">
        <v>1992</v>
      </c>
      <c r="S247" t="s">
        <v>1993</v>
      </c>
      <c r="T247" t="s">
        <v>1994</v>
      </c>
      <c r="U247" t="s">
        <v>1995</v>
      </c>
    </row>
    <row r="248" spans="1:21">
      <c r="A248" t="s">
        <v>2322</v>
      </c>
      <c r="B248" t="s">
        <v>2322</v>
      </c>
      <c r="C248" t="s">
        <v>2323</v>
      </c>
      <c r="D248" t="s">
        <v>2324</v>
      </c>
      <c r="E248" t="s">
        <v>1982</v>
      </c>
      <c r="F248" t="s">
        <v>204</v>
      </c>
      <c r="G248" t="s">
        <v>1991</v>
      </c>
      <c r="H248">
        <v>1646</v>
      </c>
      <c r="I248">
        <v>2835</v>
      </c>
      <c r="J248">
        <v>1110</v>
      </c>
      <c r="K248">
        <v>1</v>
      </c>
      <c r="L248">
        <v>3668179737</v>
      </c>
      <c r="M248">
        <v>5118364</v>
      </c>
      <c r="N248">
        <v>716.67</v>
      </c>
      <c r="O248">
        <v>100961</v>
      </c>
      <c r="P248">
        <v>1520</v>
      </c>
      <c r="Q248">
        <v>269</v>
      </c>
      <c r="R248" t="s">
        <v>1992</v>
      </c>
      <c r="S248" t="s">
        <v>1993</v>
      </c>
      <c r="T248" t="s">
        <v>1994</v>
      </c>
      <c r="U248" t="s">
        <v>1995</v>
      </c>
    </row>
    <row r="249" spans="1:21">
      <c r="A249" t="s">
        <v>2511</v>
      </c>
      <c r="B249" t="s">
        <v>2511</v>
      </c>
      <c r="C249" t="s">
        <v>2512</v>
      </c>
      <c r="D249" t="s">
        <v>2513</v>
      </c>
      <c r="E249" t="s">
        <v>1982</v>
      </c>
      <c r="F249" t="s">
        <v>204</v>
      </c>
      <c r="G249" t="s">
        <v>1991</v>
      </c>
      <c r="H249">
        <v>1625</v>
      </c>
      <c r="I249">
        <v>3084</v>
      </c>
      <c r="J249">
        <v>880</v>
      </c>
      <c r="K249">
        <v>3</v>
      </c>
      <c r="L249">
        <v>3854812769</v>
      </c>
      <c r="M249">
        <v>8619767</v>
      </c>
      <c r="N249">
        <v>447.21</v>
      </c>
      <c r="O249">
        <v>70361</v>
      </c>
      <c r="P249">
        <v>429</v>
      </c>
      <c r="Q249">
        <v>231</v>
      </c>
      <c r="R249" t="s">
        <v>1992</v>
      </c>
      <c r="S249" t="s">
        <v>1993</v>
      </c>
      <c r="T249" t="s">
        <v>1994</v>
      </c>
      <c r="U249" t="s">
        <v>1995</v>
      </c>
    </row>
    <row r="250" spans="1:21">
      <c r="A250" t="s">
        <v>2481</v>
      </c>
      <c r="B250" t="s">
        <v>2481</v>
      </c>
      <c r="C250" t="s">
        <v>2482</v>
      </c>
      <c r="D250" t="s">
        <v>2483</v>
      </c>
      <c r="E250" t="s">
        <v>1982</v>
      </c>
      <c r="F250" t="s">
        <v>204</v>
      </c>
      <c r="G250" t="s">
        <v>1991</v>
      </c>
      <c r="H250">
        <v>4851</v>
      </c>
      <c r="I250">
        <v>213</v>
      </c>
      <c r="J250">
        <v>515</v>
      </c>
      <c r="K250">
        <v>13</v>
      </c>
      <c r="L250">
        <v>1560494144</v>
      </c>
      <c r="M250">
        <v>3507999</v>
      </c>
      <c r="N250">
        <v>444.84</v>
      </c>
      <c r="O250">
        <v>69549</v>
      </c>
      <c r="P250">
        <v>411</v>
      </c>
      <c r="Q250">
        <v>227</v>
      </c>
      <c r="R250" t="s">
        <v>1992</v>
      </c>
      <c r="S250" t="s">
        <v>1993</v>
      </c>
      <c r="T250" t="s">
        <v>1994</v>
      </c>
      <c r="U250" t="s">
        <v>1995</v>
      </c>
    </row>
    <row r="251" spans="1:21">
      <c r="A251" t="s">
        <v>2325</v>
      </c>
      <c r="B251" t="s">
        <v>2325</v>
      </c>
      <c r="C251" t="s">
        <v>2326</v>
      </c>
      <c r="D251" t="s">
        <v>2327</v>
      </c>
      <c r="E251" t="s">
        <v>1982</v>
      </c>
      <c r="F251" t="s">
        <v>204</v>
      </c>
      <c r="G251" t="s">
        <v>1991</v>
      </c>
      <c r="H251">
        <v>1407</v>
      </c>
      <c r="I251">
        <v>3022</v>
      </c>
      <c r="J251">
        <v>1162</v>
      </c>
      <c r="K251">
        <v>1</v>
      </c>
      <c r="L251">
        <v>2318796851</v>
      </c>
      <c r="M251">
        <v>2303758</v>
      </c>
      <c r="N251">
        <v>1006.53</v>
      </c>
      <c r="O251">
        <v>117319</v>
      </c>
      <c r="P251">
        <v>4261</v>
      </c>
      <c r="Q251">
        <v>283</v>
      </c>
      <c r="R251" t="s">
        <v>1992</v>
      </c>
      <c r="S251" t="s">
        <v>1993</v>
      </c>
      <c r="T251" t="s">
        <v>1994</v>
      </c>
      <c r="U251" t="s">
        <v>1995</v>
      </c>
    </row>
    <row r="252" spans="1:21">
      <c r="A252" t="s">
        <v>2450</v>
      </c>
      <c r="B252" t="s">
        <v>2450</v>
      </c>
      <c r="C252" t="s">
        <v>2451</v>
      </c>
      <c r="D252" t="s">
        <v>2452</v>
      </c>
      <c r="E252" t="s">
        <v>1982</v>
      </c>
      <c r="F252" t="s">
        <v>204</v>
      </c>
      <c r="G252" t="s">
        <v>1991</v>
      </c>
      <c r="H252">
        <v>4126</v>
      </c>
      <c r="I252">
        <v>526</v>
      </c>
      <c r="J252">
        <v>929</v>
      </c>
      <c r="K252">
        <v>11</v>
      </c>
      <c r="L252">
        <v>1355128130</v>
      </c>
      <c r="M252">
        <v>2559896</v>
      </c>
      <c r="N252">
        <v>529.37</v>
      </c>
      <c r="O252">
        <v>70049</v>
      </c>
      <c r="P252">
        <v>659</v>
      </c>
      <c r="Q252">
        <v>237</v>
      </c>
      <c r="R252" t="s">
        <v>1992</v>
      </c>
      <c r="S252" t="s">
        <v>1993</v>
      </c>
      <c r="T252" t="s">
        <v>1994</v>
      </c>
      <c r="U252" t="s">
        <v>1995</v>
      </c>
    </row>
    <row r="253" spans="1:21">
      <c r="A253" t="s">
        <v>2497</v>
      </c>
      <c r="B253" t="s">
        <v>2497</v>
      </c>
      <c r="C253" t="s">
        <v>2498</v>
      </c>
      <c r="D253" t="s">
        <v>2499</v>
      </c>
      <c r="E253" t="s">
        <v>31</v>
      </c>
      <c r="F253" t="s">
        <v>204</v>
      </c>
      <c r="G253" t="s">
        <v>1991</v>
      </c>
      <c r="H253">
        <v>4187</v>
      </c>
      <c r="I253">
        <v>492</v>
      </c>
      <c r="J253">
        <v>902</v>
      </c>
      <c r="K253">
        <v>11</v>
      </c>
      <c r="L253">
        <v>1280294088</v>
      </c>
      <c r="M253">
        <v>2297201</v>
      </c>
      <c r="N253">
        <v>557.33000000000004</v>
      </c>
      <c r="O253">
        <v>62786</v>
      </c>
      <c r="P253">
        <v>768</v>
      </c>
      <c r="Q253">
        <v>242</v>
      </c>
      <c r="R253" t="s">
        <v>1992</v>
      </c>
      <c r="S253" t="s">
        <v>1993</v>
      </c>
      <c r="T253" t="s">
        <v>1994</v>
      </c>
      <c r="U253" t="s">
        <v>1995</v>
      </c>
    </row>
    <row r="254" spans="1:21">
      <c r="A254" t="s">
        <v>2537</v>
      </c>
      <c r="B254" t="s">
        <v>2537</v>
      </c>
      <c r="C254" t="s">
        <v>2538</v>
      </c>
      <c r="D254" t="s">
        <v>2539</v>
      </c>
      <c r="E254" t="s">
        <v>1982</v>
      </c>
      <c r="F254" t="s">
        <v>204</v>
      </c>
      <c r="G254" t="s">
        <v>1991</v>
      </c>
      <c r="H254">
        <v>5359</v>
      </c>
      <c r="I254">
        <v>127</v>
      </c>
      <c r="J254">
        <v>103</v>
      </c>
      <c r="K254">
        <v>3</v>
      </c>
      <c r="L254">
        <v>635446750</v>
      </c>
      <c r="M254">
        <v>552216</v>
      </c>
      <c r="N254">
        <v>1150.72</v>
      </c>
      <c r="O254">
        <v>135850</v>
      </c>
      <c r="P254">
        <v>8466</v>
      </c>
      <c r="Q254">
        <v>293</v>
      </c>
      <c r="R254" t="s">
        <v>1992</v>
      </c>
      <c r="S254" t="s">
        <v>1993</v>
      </c>
      <c r="T254" t="s">
        <v>1994</v>
      </c>
      <c r="U254" t="s">
        <v>1995</v>
      </c>
    </row>
    <row r="255" spans="1:21">
      <c r="A255" t="s">
        <v>2593</v>
      </c>
      <c r="B255" t="s">
        <v>2593</v>
      </c>
      <c r="C255" t="s">
        <v>2594</v>
      </c>
      <c r="D255" t="s">
        <v>2595</v>
      </c>
      <c r="E255" t="s">
        <v>1982</v>
      </c>
      <c r="F255" t="s">
        <v>204</v>
      </c>
      <c r="G255" t="s">
        <v>1991</v>
      </c>
      <c r="H255">
        <v>4508</v>
      </c>
      <c r="I255">
        <v>536</v>
      </c>
      <c r="J255">
        <v>540</v>
      </c>
      <c r="K255">
        <v>8</v>
      </c>
      <c r="L255">
        <v>3696924983</v>
      </c>
      <c r="M255">
        <v>6589251</v>
      </c>
      <c r="N255">
        <v>561.04999999999995</v>
      </c>
      <c r="O255">
        <v>71451</v>
      </c>
      <c r="P255">
        <v>765</v>
      </c>
      <c r="Q255">
        <v>242</v>
      </c>
      <c r="R255" t="s">
        <v>1992</v>
      </c>
      <c r="S255" t="s">
        <v>1993</v>
      </c>
      <c r="T255" t="s">
        <v>1994</v>
      </c>
      <c r="U255" t="s">
        <v>31</v>
      </c>
    </row>
    <row r="256" spans="1:21">
      <c r="A256" t="s">
        <v>2684</v>
      </c>
      <c r="B256" t="s">
        <v>2684</v>
      </c>
      <c r="C256" t="s">
        <v>2685</v>
      </c>
      <c r="D256" t="s">
        <v>2686</v>
      </c>
      <c r="E256" t="s">
        <v>1982</v>
      </c>
      <c r="F256" t="s">
        <v>204</v>
      </c>
      <c r="G256" t="s">
        <v>1991</v>
      </c>
      <c r="H256">
        <v>4576</v>
      </c>
      <c r="I256">
        <v>339</v>
      </c>
      <c r="J256">
        <v>676</v>
      </c>
      <c r="K256">
        <v>1</v>
      </c>
      <c r="L256">
        <v>2605361314</v>
      </c>
      <c r="M256">
        <v>6087597</v>
      </c>
      <c r="N256">
        <v>427.98</v>
      </c>
      <c r="O256">
        <v>71859</v>
      </c>
      <c r="P256">
        <v>406</v>
      </c>
      <c r="Q256">
        <v>230</v>
      </c>
      <c r="R256" t="s">
        <v>1992</v>
      </c>
      <c r="S256" t="s">
        <v>1993</v>
      </c>
      <c r="T256" t="s">
        <v>1994</v>
      </c>
      <c r="U256" t="s">
        <v>2289</v>
      </c>
    </row>
    <row r="257" spans="1:21">
      <c r="A257" t="s">
        <v>2811</v>
      </c>
      <c r="B257" t="s">
        <v>2811</v>
      </c>
      <c r="C257" t="s">
        <v>2812</v>
      </c>
      <c r="D257" t="s">
        <v>2813</v>
      </c>
      <c r="E257" t="s">
        <v>1982</v>
      </c>
      <c r="F257" t="s">
        <v>204</v>
      </c>
      <c r="G257" t="s">
        <v>1991</v>
      </c>
      <c r="H257">
        <v>3816</v>
      </c>
      <c r="I257">
        <v>810</v>
      </c>
      <c r="J257">
        <v>963</v>
      </c>
      <c r="K257">
        <v>3</v>
      </c>
      <c r="L257">
        <v>2108445497</v>
      </c>
      <c r="M257">
        <v>4333043</v>
      </c>
      <c r="N257">
        <v>486.6</v>
      </c>
      <c r="O257">
        <v>69532</v>
      </c>
      <c r="P257">
        <v>508</v>
      </c>
      <c r="Q257">
        <v>234</v>
      </c>
      <c r="R257" t="s">
        <v>1992</v>
      </c>
      <c r="S257" t="s">
        <v>1993</v>
      </c>
      <c r="T257" t="s">
        <v>1994</v>
      </c>
      <c r="U257" t="s">
        <v>1998</v>
      </c>
    </row>
    <row r="258" spans="1:21">
      <c r="A258" t="s">
        <v>2985</v>
      </c>
      <c r="B258" t="s">
        <v>2985</v>
      </c>
      <c r="C258" t="s">
        <v>634</v>
      </c>
      <c r="D258" t="s">
        <v>2986</v>
      </c>
      <c r="E258" t="s">
        <v>1987</v>
      </c>
      <c r="F258" t="s">
        <v>204</v>
      </c>
      <c r="G258" t="s">
        <v>1991</v>
      </c>
      <c r="H258">
        <v>1665</v>
      </c>
      <c r="I258">
        <v>2673</v>
      </c>
      <c r="J258">
        <v>1250</v>
      </c>
      <c r="K258">
        <v>4</v>
      </c>
      <c r="L258">
        <v>1587105970</v>
      </c>
      <c r="M258">
        <v>2118423</v>
      </c>
      <c r="N258">
        <v>749.19</v>
      </c>
      <c r="O258">
        <v>50700</v>
      </c>
      <c r="P258">
        <v>1470</v>
      </c>
      <c r="Q258">
        <v>283</v>
      </c>
      <c r="R258" t="s">
        <v>1992</v>
      </c>
      <c r="S258" t="s">
        <v>1993</v>
      </c>
      <c r="T258" t="s">
        <v>1994</v>
      </c>
      <c r="U258" t="s">
        <v>31</v>
      </c>
    </row>
    <row r="259" spans="1:21">
      <c r="A259" t="s">
        <v>3129</v>
      </c>
      <c r="B259" t="s">
        <v>3129</v>
      </c>
      <c r="C259" t="s">
        <v>3127</v>
      </c>
      <c r="D259" t="s">
        <v>3130</v>
      </c>
      <c r="E259" t="s">
        <v>1982</v>
      </c>
      <c r="F259" t="s">
        <v>204</v>
      </c>
      <c r="G259" t="s">
        <v>1991</v>
      </c>
      <c r="H259">
        <v>1363</v>
      </c>
      <c r="I259">
        <v>3232</v>
      </c>
      <c r="J259">
        <v>996</v>
      </c>
      <c r="K259">
        <v>1</v>
      </c>
      <c r="L259">
        <v>1889510087</v>
      </c>
      <c r="M259">
        <v>1812753</v>
      </c>
      <c r="N259">
        <v>1042.3399999999999</v>
      </c>
      <c r="O259">
        <v>122121</v>
      </c>
      <c r="P259">
        <v>5104</v>
      </c>
      <c r="Q259">
        <v>288</v>
      </c>
      <c r="R259" t="s">
        <v>1992</v>
      </c>
      <c r="S259" t="s">
        <v>1993</v>
      </c>
      <c r="T259" t="s">
        <v>1994</v>
      </c>
      <c r="U259" t="s">
        <v>2001</v>
      </c>
    </row>
    <row r="260" spans="1:21">
      <c r="A260" t="s">
        <v>3143</v>
      </c>
      <c r="B260" t="s">
        <v>3143</v>
      </c>
      <c r="C260" t="s">
        <v>3144</v>
      </c>
      <c r="D260" t="s">
        <v>3145</v>
      </c>
      <c r="E260" t="s">
        <v>31</v>
      </c>
      <c r="F260" t="s">
        <v>204</v>
      </c>
      <c r="G260" t="s">
        <v>1991</v>
      </c>
      <c r="H260">
        <v>1887</v>
      </c>
      <c r="I260">
        <v>2242</v>
      </c>
      <c r="J260">
        <v>1463</v>
      </c>
      <c r="K260">
        <v>0</v>
      </c>
      <c r="L260">
        <v>3180560634</v>
      </c>
      <c r="M260">
        <v>4283841</v>
      </c>
      <c r="N260">
        <v>742.46</v>
      </c>
      <c r="O260">
        <v>39355</v>
      </c>
      <c r="P260">
        <v>1230</v>
      </c>
      <c r="Q260">
        <v>305</v>
      </c>
      <c r="R260" t="s">
        <v>1992</v>
      </c>
      <c r="S260" t="s">
        <v>1993</v>
      </c>
      <c r="T260" t="s">
        <v>1994</v>
      </c>
      <c r="U260" t="s">
        <v>2001</v>
      </c>
    </row>
    <row r="261" spans="1:21">
      <c r="A261" t="s">
        <v>3164</v>
      </c>
      <c r="B261" t="s">
        <v>3164</v>
      </c>
      <c r="C261" t="s">
        <v>3165</v>
      </c>
      <c r="D261" t="s">
        <v>3166</v>
      </c>
      <c r="E261" t="s">
        <v>1982</v>
      </c>
      <c r="F261" t="s">
        <v>204</v>
      </c>
      <c r="G261" t="s">
        <v>1991</v>
      </c>
      <c r="H261">
        <v>3787</v>
      </c>
      <c r="I261">
        <v>659</v>
      </c>
      <c r="J261">
        <v>1146</v>
      </c>
      <c r="K261">
        <v>0</v>
      </c>
      <c r="L261">
        <v>4474642544</v>
      </c>
      <c r="M261">
        <v>10672241</v>
      </c>
      <c r="N261">
        <v>419.28</v>
      </c>
      <c r="O261">
        <v>48467</v>
      </c>
      <c r="P261">
        <v>398</v>
      </c>
      <c r="Q261">
        <v>228</v>
      </c>
      <c r="R261" t="s">
        <v>1992</v>
      </c>
      <c r="S261" t="s">
        <v>1993</v>
      </c>
      <c r="T261" t="s">
        <v>1994</v>
      </c>
      <c r="U261" t="s">
        <v>2001</v>
      </c>
    </row>
    <row r="262" spans="1:21">
      <c r="A262" t="s">
        <v>3467</v>
      </c>
      <c r="B262" t="s">
        <v>3467</v>
      </c>
      <c r="C262" t="s">
        <v>3468</v>
      </c>
      <c r="D262" t="s">
        <v>3469</v>
      </c>
      <c r="E262" t="s">
        <v>1982</v>
      </c>
      <c r="F262" t="s">
        <v>204</v>
      </c>
      <c r="G262" t="s">
        <v>1991</v>
      </c>
      <c r="H262">
        <v>3392</v>
      </c>
      <c r="I262">
        <v>1461</v>
      </c>
      <c r="J262">
        <v>737</v>
      </c>
      <c r="K262">
        <v>2</v>
      </c>
      <c r="L262">
        <v>3287842985</v>
      </c>
      <c r="M262">
        <v>5173006</v>
      </c>
      <c r="N262">
        <v>635.58000000000004</v>
      </c>
      <c r="O262">
        <v>76848</v>
      </c>
      <c r="P262">
        <v>842</v>
      </c>
      <c r="Q262">
        <v>284</v>
      </c>
      <c r="R262" t="s">
        <v>1992</v>
      </c>
      <c r="S262" t="s">
        <v>1993</v>
      </c>
      <c r="T262" t="s">
        <v>1994</v>
      </c>
      <c r="U262" t="s">
        <v>3460</v>
      </c>
    </row>
    <row r="263" spans="1:21">
      <c r="A263" t="s">
        <v>3355</v>
      </c>
      <c r="B263" t="s">
        <v>3355</v>
      </c>
      <c r="C263" t="s">
        <v>3356</v>
      </c>
      <c r="D263" t="s">
        <v>3357</v>
      </c>
      <c r="E263" t="s">
        <v>1982</v>
      </c>
      <c r="F263" t="s">
        <v>204</v>
      </c>
      <c r="G263" t="s">
        <v>1991</v>
      </c>
      <c r="H263">
        <v>5138</v>
      </c>
      <c r="I263">
        <v>124</v>
      </c>
      <c r="J263">
        <v>324</v>
      </c>
      <c r="K263">
        <v>6</v>
      </c>
      <c r="L263">
        <v>1793782136</v>
      </c>
      <c r="M263">
        <v>3957929</v>
      </c>
      <c r="N263">
        <v>453.21</v>
      </c>
      <c r="O263">
        <v>53032</v>
      </c>
      <c r="P263">
        <v>432</v>
      </c>
      <c r="Q263">
        <v>231</v>
      </c>
      <c r="R263" t="s">
        <v>1992</v>
      </c>
      <c r="S263" t="s">
        <v>1993</v>
      </c>
      <c r="T263" t="s">
        <v>1994</v>
      </c>
      <c r="U263" t="s">
        <v>2289</v>
      </c>
    </row>
    <row r="264" spans="1:21">
      <c r="A264" t="s">
        <v>3407</v>
      </c>
      <c r="B264" t="s">
        <v>3407</v>
      </c>
      <c r="C264" t="s">
        <v>3408</v>
      </c>
      <c r="D264" t="s">
        <v>3409</v>
      </c>
      <c r="E264" t="s">
        <v>1982</v>
      </c>
      <c r="F264" t="s">
        <v>204</v>
      </c>
      <c r="G264" t="s">
        <v>1991</v>
      </c>
      <c r="H264">
        <v>5051</v>
      </c>
      <c r="I264">
        <v>243</v>
      </c>
      <c r="J264">
        <v>297</v>
      </c>
      <c r="K264">
        <v>1</v>
      </c>
      <c r="L264">
        <v>1907798387</v>
      </c>
      <c r="M264">
        <v>3826714</v>
      </c>
      <c r="N264">
        <v>498.55</v>
      </c>
      <c r="O264">
        <v>62857</v>
      </c>
      <c r="P264">
        <v>515</v>
      </c>
      <c r="Q264">
        <v>246</v>
      </c>
      <c r="R264" t="s">
        <v>1992</v>
      </c>
      <c r="S264" t="s">
        <v>1993</v>
      </c>
      <c r="T264" t="s">
        <v>1994</v>
      </c>
      <c r="U264" t="s">
        <v>31</v>
      </c>
    </row>
    <row r="265" spans="1:21">
      <c r="A265" t="s">
        <v>3404</v>
      </c>
      <c r="B265" t="s">
        <v>3404</v>
      </c>
      <c r="C265" t="s">
        <v>3405</v>
      </c>
      <c r="D265" t="s">
        <v>3406</v>
      </c>
      <c r="E265" t="s">
        <v>1982</v>
      </c>
      <c r="F265" t="s">
        <v>204</v>
      </c>
      <c r="G265" t="s">
        <v>1991</v>
      </c>
      <c r="H265">
        <v>5116</v>
      </c>
      <c r="I265">
        <v>144</v>
      </c>
      <c r="J265">
        <v>331</v>
      </c>
      <c r="K265">
        <v>1</v>
      </c>
      <c r="L265">
        <v>1476715411</v>
      </c>
      <c r="M265">
        <v>2579671</v>
      </c>
      <c r="N265">
        <v>572.44000000000005</v>
      </c>
      <c r="O265">
        <v>90833</v>
      </c>
      <c r="P265">
        <v>631</v>
      </c>
      <c r="Q265">
        <v>283</v>
      </c>
      <c r="R265" t="s">
        <v>1992</v>
      </c>
      <c r="S265" t="s">
        <v>1993</v>
      </c>
      <c r="T265" t="s">
        <v>1994</v>
      </c>
      <c r="U265" t="s">
        <v>31</v>
      </c>
    </row>
    <row r="266" spans="1:21">
      <c r="A266" t="s">
        <v>2997</v>
      </c>
      <c r="B266" t="s">
        <v>2997</v>
      </c>
      <c r="C266" t="s">
        <v>660</v>
      </c>
      <c r="D266" t="s">
        <v>2998</v>
      </c>
      <c r="E266" t="s">
        <v>1982</v>
      </c>
      <c r="F266" t="s">
        <v>204</v>
      </c>
      <c r="G266" t="s">
        <v>1991</v>
      </c>
      <c r="H266">
        <v>2214</v>
      </c>
      <c r="I266">
        <v>2125</v>
      </c>
      <c r="J266">
        <v>1253</v>
      </c>
      <c r="K266">
        <v>0</v>
      </c>
      <c r="L266">
        <v>3284962891</v>
      </c>
      <c r="M266">
        <v>4863512</v>
      </c>
      <c r="N266">
        <v>675.43</v>
      </c>
      <c r="O266">
        <v>198533</v>
      </c>
      <c r="P266">
        <v>959</v>
      </c>
      <c r="Q266">
        <v>295</v>
      </c>
      <c r="R266" t="s">
        <v>1992</v>
      </c>
      <c r="S266" t="s">
        <v>1993</v>
      </c>
      <c r="T266" t="s">
        <v>1994</v>
      </c>
      <c r="U266" t="s">
        <v>2001</v>
      </c>
    </row>
    <row r="267" spans="1:21">
      <c r="A267" t="s">
        <v>3146</v>
      </c>
      <c r="B267" t="s">
        <v>3146</v>
      </c>
      <c r="C267" t="s">
        <v>3147</v>
      </c>
      <c r="D267" t="s">
        <v>3148</v>
      </c>
      <c r="E267" t="s">
        <v>1982</v>
      </c>
      <c r="F267" t="s">
        <v>204</v>
      </c>
      <c r="G267" t="s">
        <v>1991</v>
      </c>
      <c r="H267">
        <v>2916</v>
      </c>
      <c r="I267">
        <v>1469</v>
      </c>
      <c r="J267">
        <v>1207</v>
      </c>
      <c r="K267">
        <v>0</v>
      </c>
      <c r="L267">
        <v>1862499632</v>
      </c>
      <c r="M267">
        <v>2320663</v>
      </c>
      <c r="N267">
        <v>802.57</v>
      </c>
      <c r="O267">
        <v>78804</v>
      </c>
      <c r="P267">
        <v>1195</v>
      </c>
      <c r="Q267">
        <v>336</v>
      </c>
      <c r="R267" t="s">
        <v>1992</v>
      </c>
      <c r="S267" t="s">
        <v>1993</v>
      </c>
      <c r="T267" t="s">
        <v>1994</v>
      </c>
      <c r="U267" t="s">
        <v>2001</v>
      </c>
    </row>
    <row r="268" spans="1:21">
      <c r="A268" t="s">
        <v>3088</v>
      </c>
      <c r="B268" t="s">
        <v>3088</v>
      </c>
      <c r="C268" t="s">
        <v>3089</v>
      </c>
      <c r="D268" t="s">
        <v>3090</v>
      </c>
      <c r="E268" t="s">
        <v>1982</v>
      </c>
      <c r="F268" t="s">
        <v>204</v>
      </c>
      <c r="G268" t="s">
        <v>1991</v>
      </c>
      <c r="H268">
        <v>5405</v>
      </c>
      <c r="I268">
        <v>93</v>
      </c>
      <c r="J268">
        <v>91</v>
      </c>
      <c r="K268">
        <v>3</v>
      </c>
      <c r="L268">
        <v>974600726</v>
      </c>
      <c r="M268">
        <v>1147666</v>
      </c>
      <c r="N268">
        <v>849.2</v>
      </c>
      <c r="O268">
        <v>128026</v>
      </c>
      <c r="P268">
        <v>5197</v>
      </c>
      <c r="Q268">
        <v>261</v>
      </c>
      <c r="R268" t="s">
        <v>1992</v>
      </c>
      <c r="S268" t="s">
        <v>1993</v>
      </c>
      <c r="T268" t="s">
        <v>1994</v>
      </c>
      <c r="U268" t="s">
        <v>2446</v>
      </c>
    </row>
    <row r="269" spans="1:21">
      <c r="A269" t="s">
        <v>2863</v>
      </c>
      <c r="B269" t="s">
        <v>2863</v>
      </c>
      <c r="C269" t="s">
        <v>2864</v>
      </c>
      <c r="D269" t="s">
        <v>2865</v>
      </c>
      <c r="E269" t="s">
        <v>1982</v>
      </c>
      <c r="F269" t="s">
        <v>204</v>
      </c>
      <c r="G269" t="s">
        <v>1991</v>
      </c>
      <c r="H269">
        <v>5408</v>
      </c>
      <c r="I269">
        <v>97</v>
      </c>
      <c r="J269">
        <v>85</v>
      </c>
      <c r="K269">
        <v>2</v>
      </c>
      <c r="L269">
        <v>640881752</v>
      </c>
      <c r="M269">
        <v>439457</v>
      </c>
      <c r="N269">
        <v>1458.35</v>
      </c>
      <c r="O269">
        <v>167852</v>
      </c>
      <c r="P269">
        <v>17728</v>
      </c>
      <c r="Q269">
        <v>312</v>
      </c>
      <c r="R269" t="s">
        <v>1992</v>
      </c>
      <c r="S269" t="s">
        <v>1993</v>
      </c>
      <c r="T269" t="s">
        <v>1994</v>
      </c>
      <c r="U269" t="s">
        <v>2284</v>
      </c>
    </row>
    <row r="270" spans="1:21">
      <c r="A270" t="s">
        <v>2391</v>
      </c>
      <c r="B270" t="s">
        <v>2391</v>
      </c>
      <c r="C270" t="s">
        <v>2392</v>
      </c>
      <c r="D270" t="s">
        <v>2393</v>
      </c>
      <c r="E270" t="s">
        <v>2025</v>
      </c>
      <c r="F270" t="s">
        <v>204</v>
      </c>
      <c r="G270" t="s">
        <v>1991</v>
      </c>
      <c r="H270">
        <v>1837</v>
      </c>
      <c r="I270">
        <v>1862</v>
      </c>
      <c r="J270">
        <v>1892</v>
      </c>
      <c r="K270">
        <v>1</v>
      </c>
      <c r="L270">
        <v>5506716992</v>
      </c>
      <c r="M270">
        <v>8606596</v>
      </c>
      <c r="N270">
        <v>639.83000000000004</v>
      </c>
      <c r="O270">
        <v>87666</v>
      </c>
      <c r="P270">
        <v>1026</v>
      </c>
      <c r="Q270">
        <v>269</v>
      </c>
      <c r="R270" t="s">
        <v>1992</v>
      </c>
      <c r="S270" t="s">
        <v>1993</v>
      </c>
      <c r="T270" t="s">
        <v>1994</v>
      </c>
      <c r="U270" t="s">
        <v>1995</v>
      </c>
    </row>
    <row r="271" spans="1:21">
      <c r="A271" t="s">
        <v>2383</v>
      </c>
      <c r="B271" t="s">
        <v>2383</v>
      </c>
      <c r="C271" t="s">
        <v>2384</v>
      </c>
      <c r="D271" t="s">
        <v>2385</v>
      </c>
      <c r="E271" t="s">
        <v>1982</v>
      </c>
      <c r="F271" t="s">
        <v>204</v>
      </c>
      <c r="G271" t="s">
        <v>1991</v>
      </c>
      <c r="H271">
        <v>1557</v>
      </c>
      <c r="I271">
        <v>3040</v>
      </c>
      <c r="J271">
        <v>994</v>
      </c>
      <c r="K271">
        <v>1</v>
      </c>
      <c r="L271">
        <v>1959585280</v>
      </c>
      <c r="M271">
        <v>1627835</v>
      </c>
      <c r="N271">
        <v>1203.8</v>
      </c>
      <c r="O271">
        <v>126931</v>
      </c>
      <c r="P271">
        <v>5853</v>
      </c>
      <c r="Q271">
        <v>315</v>
      </c>
      <c r="R271" t="s">
        <v>1992</v>
      </c>
      <c r="S271" t="s">
        <v>1993</v>
      </c>
      <c r="T271" t="s">
        <v>1994</v>
      </c>
      <c r="U271" t="s">
        <v>1995</v>
      </c>
    </row>
    <row r="272" spans="1:21">
      <c r="A272" t="s">
        <v>2380</v>
      </c>
      <c r="B272" t="s">
        <v>2380</v>
      </c>
      <c r="C272" t="s">
        <v>2381</v>
      </c>
      <c r="D272" t="s">
        <v>2382</v>
      </c>
      <c r="E272" t="s">
        <v>1982</v>
      </c>
      <c r="F272" t="s">
        <v>204</v>
      </c>
      <c r="G272" t="s">
        <v>1991</v>
      </c>
      <c r="H272">
        <v>1503</v>
      </c>
      <c r="I272">
        <v>2982</v>
      </c>
      <c r="J272">
        <v>1105</v>
      </c>
      <c r="K272">
        <v>2</v>
      </c>
      <c r="L272">
        <v>2026174160</v>
      </c>
      <c r="M272">
        <v>2057607</v>
      </c>
      <c r="N272">
        <v>984.72</v>
      </c>
      <c r="O272">
        <v>95098</v>
      </c>
      <c r="P272">
        <v>4114</v>
      </c>
      <c r="Q272">
        <v>292</v>
      </c>
      <c r="R272" t="s">
        <v>1992</v>
      </c>
      <c r="S272" t="s">
        <v>1993</v>
      </c>
      <c r="T272" t="s">
        <v>1994</v>
      </c>
      <c r="U272" t="s">
        <v>1998</v>
      </c>
    </row>
    <row r="273" spans="1:21">
      <c r="A273" t="s">
        <v>2139</v>
      </c>
      <c r="B273" t="s">
        <v>2139</v>
      </c>
      <c r="C273" t="s">
        <v>2140</v>
      </c>
      <c r="D273" t="s">
        <v>2141</v>
      </c>
      <c r="E273" t="s">
        <v>1982</v>
      </c>
      <c r="F273" t="s">
        <v>204</v>
      </c>
      <c r="G273" t="s">
        <v>1991</v>
      </c>
      <c r="H273">
        <v>5282</v>
      </c>
      <c r="I273">
        <v>137</v>
      </c>
      <c r="J273">
        <v>170</v>
      </c>
      <c r="K273">
        <v>3</v>
      </c>
      <c r="L273">
        <v>988849432</v>
      </c>
      <c r="M273">
        <v>1396314</v>
      </c>
      <c r="N273">
        <v>708.19</v>
      </c>
      <c r="O273">
        <v>114062</v>
      </c>
      <c r="P273">
        <v>2172</v>
      </c>
      <c r="Q273">
        <v>252</v>
      </c>
      <c r="R273" t="s">
        <v>1992</v>
      </c>
      <c r="S273" t="s">
        <v>1993</v>
      </c>
      <c r="T273" t="s">
        <v>1994</v>
      </c>
      <c r="U273" t="s">
        <v>1998</v>
      </c>
    </row>
    <row r="274" spans="1:21">
      <c r="A274" t="s">
        <v>2397</v>
      </c>
      <c r="B274" t="s">
        <v>2397</v>
      </c>
      <c r="C274" t="s">
        <v>2398</v>
      </c>
      <c r="D274" t="s">
        <v>2399</v>
      </c>
      <c r="E274" t="s">
        <v>1982</v>
      </c>
      <c r="F274" t="s">
        <v>204</v>
      </c>
      <c r="G274" t="s">
        <v>1991</v>
      </c>
      <c r="H274">
        <v>1220</v>
      </c>
      <c r="I274">
        <v>3840</v>
      </c>
      <c r="J274">
        <v>531</v>
      </c>
      <c r="K274">
        <v>1</v>
      </c>
      <c r="L274">
        <v>1847956222</v>
      </c>
      <c r="M274">
        <v>2648150</v>
      </c>
      <c r="N274">
        <v>697.83</v>
      </c>
      <c r="O274">
        <v>78986</v>
      </c>
      <c r="P274">
        <v>1770</v>
      </c>
      <c r="Q274">
        <v>256</v>
      </c>
      <c r="R274" t="s">
        <v>1992</v>
      </c>
      <c r="S274" t="s">
        <v>1993</v>
      </c>
      <c r="T274" t="s">
        <v>1994</v>
      </c>
      <c r="U274" t="s">
        <v>1995</v>
      </c>
    </row>
    <row r="275" spans="1:21">
      <c r="A275" t="s">
        <v>2662</v>
      </c>
      <c r="B275" t="s">
        <v>2662</v>
      </c>
      <c r="C275" t="s">
        <v>2663</v>
      </c>
      <c r="D275" t="s">
        <v>2664</v>
      </c>
      <c r="E275" t="s">
        <v>1982</v>
      </c>
      <c r="F275" t="s">
        <v>204</v>
      </c>
      <c r="G275" t="s">
        <v>1991</v>
      </c>
      <c r="H275">
        <v>5311</v>
      </c>
      <c r="I275">
        <v>83</v>
      </c>
      <c r="J275">
        <v>189</v>
      </c>
      <c r="K275">
        <v>9</v>
      </c>
      <c r="L275">
        <v>1438148169</v>
      </c>
      <c r="M275">
        <v>2240171</v>
      </c>
      <c r="N275">
        <v>641.98</v>
      </c>
      <c r="O275">
        <v>78468</v>
      </c>
      <c r="P275">
        <v>1385</v>
      </c>
      <c r="Q275">
        <v>243</v>
      </c>
      <c r="R275" t="s">
        <v>1992</v>
      </c>
      <c r="S275" t="s">
        <v>1993</v>
      </c>
      <c r="T275" t="s">
        <v>1994</v>
      </c>
      <c r="U275" t="s">
        <v>31</v>
      </c>
    </row>
    <row r="276" spans="1:21">
      <c r="A276" t="s">
        <v>2429</v>
      </c>
      <c r="B276" t="s">
        <v>2429</v>
      </c>
      <c r="C276" t="s">
        <v>2430</v>
      </c>
      <c r="D276" t="s">
        <v>2431</v>
      </c>
      <c r="E276" t="s">
        <v>1987</v>
      </c>
      <c r="F276" t="s">
        <v>204</v>
      </c>
      <c r="G276" t="s">
        <v>1991</v>
      </c>
      <c r="H276">
        <v>1265</v>
      </c>
      <c r="I276">
        <v>3361</v>
      </c>
      <c r="J276">
        <v>966</v>
      </c>
      <c r="K276">
        <v>0</v>
      </c>
      <c r="L276">
        <v>1178392476</v>
      </c>
      <c r="M276">
        <v>1430702</v>
      </c>
      <c r="N276">
        <v>823.65</v>
      </c>
      <c r="O276">
        <v>75190</v>
      </c>
      <c r="P276">
        <v>2928</v>
      </c>
      <c r="Q276">
        <v>282</v>
      </c>
      <c r="R276" t="s">
        <v>1992</v>
      </c>
      <c r="S276" t="s">
        <v>1993</v>
      </c>
      <c r="T276" t="s">
        <v>1994</v>
      </c>
      <c r="U276" t="s">
        <v>2010</v>
      </c>
    </row>
    <row r="277" spans="1:21">
      <c r="A277" t="s">
        <v>2426</v>
      </c>
      <c r="B277" t="s">
        <v>2426</v>
      </c>
      <c r="C277" t="s">
        <v>2427</v>
      </c>
      <c r="D277" t="s">
        <v>2428</v>
      </c>
      <c r="E277" t="s">
        <v>1982</v>
      </c>
      <c r="F277" t="s">
        <v>204</v>
      </c>
      <c r="G277" t="s">
        <v>1991</v>
      </c>
      <c r="H277">
        <v>1485</v>
      </c>
      <c r="I277">
        <v>2848</v>
      </c>
      <c r="J277">
        <v>1257</v>
      </c>
      <c r="K277">
        <v>2</v>
      </c>
      <c r="L277">
        <v>2036656764</v>
      </c>
      <c r="M277">
        <v>3489814</v>
      </c>
      <c r="N277">
        <v>583.6</v>
      </c>
      <c r="O277">
        <v>705321</v>
      </c>
      <c r="P277">
        <v>812</v>
      </c>
      <c r="Q277">
        <v>246</v>
      </c>
      <c r="R277" t="s">
        <v>1992</v>
      </c>
      <c r="S277" t="s">
        <v>1993</v>
      </c>
      <c r="T277" t="s">
        <v>1994</v>
      </c>
      <c r="U277" t="s">
        <v>2010</v>
      </c>
    </row>
    <row r="278" spans="1:21">
      <c r="A278" t="s">
        <v>3024</v>
      </c>
      <c r="B278" t="s">
        <v>3024</v>
      </c>
      <c r="C278" t="s">
        <v>3025</v>
      </c>
      <c r="D278" t="s">
        <v>3026</v>
      </c>
      <c r="E278" t="s">
        <v>1982</v>
      </c>
      <c r="F278" t="s">
        <v>204</v>
      </c>
      <c r="G278" t="s">
        <v>1991</v>
      </c>
      <c r="H278">
        <v>2604</v>
      </c>
      <c r="I278">
        <v>1567</v>
      </c>
      <c r="J278">
        <v>1419</v>
      </c>
      <c r="K278">
        <v>2</v>
      </c>
      <c r="L278">
        <v>2365812282</v>
      </c>
      <c r="M278">
        <v>3538699</v>
      </c>
      <c r="N278">
        <v>668.55</v>
      </c>
      <c r="O278">
        <v>62702</v>
      </c>
      <c r="P278">
        <v>1017</v>
      </c>
      <c r="Q278">
        <v>283</v>
      </c>
      <c r="R278" t="s">
        <v>1992</v>
      </c>
      <c r="S278" t="s">
        <v>1993</v>
      </c>
      <c r="T278" t="s">
        <v>1994</v>
      </c>
      <c r="U278" t="s">
        <v>3015</v>
      </c>
    </row>
    <row r="279" spans="1:21">
      <c r="A279" t="s">
        <v>3030</v>
      </c>
      <c r="B279" t="s">
        <v>3030</v>
      </c>
      <c r="C279" t="s">
        <v>3031</v>
      </c>
      <c r="D279" t="s">
        <v>3032</v>
      </c>
      <c r="E279" t="s">
        <v>1982</v>
      </c>
      <c r="F279" t="s">
        <v>204</v>
      </c>
      <c r="G279" t="s">
        <v>1991</v>
      </c>
      <c r="H279">
        <v>4761</v>
      </c>
      <c r="I279">
        <v>97</v>
      </c>
      <c r="J279">
        <v>728</v>
      </c>
      <c r="K279">
        <v>6</v>
      </c>
      <c r="L279">
        <v>1809112579</v>
      </c>
      <c r="M279">
        <v>3584917</v>
      </c>
      <c r="N279">
        <v>504.65</v>
      </c>
      <c r="O279">
        <v>105342</v>
      </c>
      <c r="P279">
        <v>525</v>
      </c>
      <c r="Q279">
        <v>254</v>
      </c>
      <c r="R279" t="s">
        <v>1992</v>
      </c>
      <c r="S279" t="s">
        <v>1993</v>
      </c>
      <c r="T279" t="s">
        <v>1994</v>
      </c>
      <c r="U279" t="s">
        <v>2446</v>
      </c>
    </row>
    <row r="280" spans="1:21">
      <c r="A280" t="s">
        <v>2740</v>
      </c>
      <c r="B280" t="s">
        <v>2740</v>
      </c>
      <c r="C280" t="s">
        <v>2741</v>
      </c>
      <c r="D280" t="s">
        <v>2742</v>
      </c>
      <c r="E280" t="s">
        <v>1982</v>
      </c>
      <c r="F280" t="s">
        <v>204</v>
      </c>
      <c r="G280" t="s">
        <v>1991</v>
      </c>
      <c r="H280">
        <v>4920</v>
      </c>
      <c r="I280">
        <v>155</v>
      </c>
      <c r="J280">
        <v>513</v>
      </c>
      <c r="K280">
        <v>4</v>
      </c>
      <c r="L280">
        <v>2647829931</v>
      </c>
      <c r="M280">
        <v>4974467</v>
      </c>
      <c r="N280">
        <v>532.28</v>
      </c>
      <c r="O280">
        <v>61675</v>
      </c>
      <c r="P280">
        <v>586</v>
      </c>
      <c r="Q280">
        <v>268</v>
      </c>
      <c r="R280" t="s">
        <v>1992</v>
      </c>
      <c r="S280" t="s">
        <v>1993</v>
      </c>
      <c r="T280" t="s">
        <v>1994</v>
      </c>
      <c r="U280" t="s">
        <v>2636</v>
      </c>
    </row>
    <row r="281" spans="1:21">
      <c r="A281" t="s">
        <v>2540</v>
      </c>
      <c r="B281" t="s">
        <v>2540</v>
      </c>
      <c r="C281" t="s">
        <v>2538</v>
      </c>
      <c r="D281" t="s">
        <v>2541</v>
      </c>
      <c r="E281" t="s">
        <v>1982</v>
      </c>
      <c r="F281" t="s">
        <v>204</v>
      </c>
      <c r="G281" t="s">
        <v>1991</v>
      </c>
      <c r="H281">
        <v>1641</v>
      </c>
      <c r="I281">
        <v>2836</v>
      </c>
      <c r="J281">
        <v>1114</v>
      </c>
      <c r="K281">
        <v>1</v>
      </c>
      <c r="L281">
        <v>1756359810</v>
      </c>
      <c r="M281">
        <v>2608979</v>
      </c>
      <c r="N281">
        <v>673.2</v>
      </c>
      <c r="O281">
        <v>119708</v>
      </c>
      <c r="P281">
        <v>1194</v>
      </c>
      <c r="Q281">
        <v>277</v>
      </c>
      <c r="R281" t="s">
        <v>1992</v>
      </c>
      <c r="S281" t="s">
        <v>1993</v>
      </c>
      <c r="T281" t="s">
        <v>1994</v>
      </c>
      <c r="U281" t="s">
        <v>1995</v>
      </c>
    </row>
    <row r="282" spans="1:21">
      <c r="A282" t="s">
        <v>2314</v>
      </c>
      <c r="B282" t="s">
        <v>2314</v>
      </c>
      <c r="C282" t="s">
        <v>2315</v>
      </c>
      <c r="D282" t="s">
        <v>2316</v>
      </c>
      <c r="E282" t="s">
        <v>1987</v>
      </c>
      <c r="F282" t="s">
        <v>204</v>
      </c>
      <c r="G282" t="s">
        <v>1991</v>
      </c>
      <c r="H282">
        <v>5234</v>
      </c>
      <c r="I282">
        <v>97</v>
      </c>
      <c r="J282">
        <v>239</v>
      </c>
      <c r="K282">
        <v>22</v>
      </c>
      <c r="L282">
        <v>1821862450</v>
      </c>
      <c r="M282">
        <v>2748680</v>
      </c>
      <c r="N282">
        <v>662.81</v>
      </c>
      <c r="O282">
        <v>237910</v>
      </c>
      <c r="P282">
        <v>1170</v>
      </c>
      <c r="Q282">
        <v>255</v>
      </c>
      <c r="R282" t="s">
        <v>1992</v>
      </c>
      <c r="S282" t="s">
        <v>1993</v>
      </c>
      <c r="T282" t="s">
        <v>1994</v>
      </c>
      <c r="U282" t="s">
        <v>2294</v>
      </c>
    </row>
    <row r="283" spans="1:21">
      <c r="A283" t="s">
        <v>2719</v>
      </c>
      <c r="B283" t="s">
        <v>2719</v>
      </c>
      <c r="C283" t="s">
        <v>2720</v>
      </c>
      <c r="D283" t="s">
        <v>2721</v>
      </c>
      <c r="E283" t="s">
        <v>1987</v>
      </c>
      <c r="F283" t="s">
        <v>204</v>
      </c>
      <c r="G283" t="s">
        <v>1991</v>
      </c>
      <c r="H283">
        <v>1736</v>
      </c>
      <c r="I283">
        <v>3128</v>
      </c>
      <c r="J283">
        <v>724</v>
      </c>
      <c r="K283">
        <v>4</v>
      </c>
      <c r="L283">
        <v>2323441935</v>
      </c>
      <c r="M283">
        <v>2666212</v>
      </c>
      <c r="N283">
        <v>871.44</v>
      </c>
      <c r="O283">
        <v>58955</v>
      </c>
      <c r="P283">
        <v>2366</v>
      </c>
      <c r="Q283">
        <v>301</v>
      </c>
      <c r="R283" t="s">
        <v>1992</v>
      </c>
      <c r="S283" t="s">
        <v>1993</v>
      </c>
      <c r="T283" t="s">
        <v>1994</v>
      </c>
      <c r="U283" t="s">
        <v>2636</v>
      </c>
    </row>
    <row r="284" spans="1:21">
      <c r="A284" t="s">
        <v>2534</v>
      </c>
      <c r="B284" t="s">
        <v>2534</v>
      </c>
      <c r="C284" t="s">
        <v>2535</v>
      </c>
      <c r="D284" t="s">
        <v>2536</v>
      </c>
      <c r="E284" t="s">
        <v>1982</v>
      </c>
      <c r="F284" t="s">
        <v>204</v>
      </c>
      <c r="G284" t="s">
        <v>1991</v>
      </c>
      <c r="H284">
        <v>4801</v>
      </c>
      <c r="I284">
        <v>366</v>
      </c>
      <c r="J284">
        <v>424</v>
      </c>
      <c r="K284">
        <v>1</v>
      </c>
      <c r="L284">
        <v>1463966447</v>
      </c>
      <c r="M284">
        <v>1855573</v>
      </c>
      <c r="N284">
        <v>788.96</v>
      </c>
      <c r="O284">
        <v>88935</v>
      </c>
      <c r="P284">
        <v>1122</v>
      </c>
      <c r="Q284">
        <v>329</v>
      </c>
      <c r="R284" t="s">
        <v>1992</v>
      </c>
      <c r="S284" t="s">
        <v>1993</v>
      </c>
      <c r="T284" t="s">
        <v>1994</v>
      </c>
      <c r="U284" t="s">
        <v>1995</v>
      </c>
    </row>
    <row r="285" spans="1:21">
      <c r="A285" t="s">
        <v>2484</v>
      </c>
      <c r="B285" t="s">
        <v>2484</v>
      </c>
      <c r="C285" t="s">
        <v>2485</v>
      </c>
      <c r="D285" t="s">
        <v>2486</v>
      </c>
      <c r="E285" t="s">
        <v>1982</v>
      </c>
      <c r="F285" t="s">
        <v>204</v>
      </c>
      <c r="G285" t="s">
        <v>1991</v>
      </c>
      <c r="H285">
        <v>5150</v>
      </c>
      <c r="I285">
        <v>168</v>
      </c>
      <c r="J285">
        <v>269</v>
      </c>
      <c r="K285">
        <v>5</v>
      </c>
      <c r="L285">
        <v>712154644</v>
      </c>
      <c r="M285">
        <v>583027</v>
      </c>
      <c r="N285">
        <v>1221.48</v>
      </c>
      <c r="O285">
        <v>70954</v>
      </c>
      <c r="P285">
        <v>3381</v>
      </c>
      <c r="Q285">
        <v>403</v>
      </c>
      <c r="R285" t="s">
        <v>1992</v>
      </c>
      <c r="S285" t="s">
        <v>1993</v>
      </c>
      <c r="T285" t="s">
        <v>1994</v>
      </c>
      <c r="U285" t="s">
        <v>1995</v>
      </c>
    </row>
    <row r="286" spans="1:21">
      <c r="A286" t="s">
        <v>2490</v>
      </c>
      <c r="B286" t="s">
        <v>2490</v>
      </c>
      <c r="C286" t="s">
        <v>2491</v>
      </c>
      <c r="D286" t="s">
        <v>2492</v>
      </c>
      <c r="E286" t="s">
        <v>1982</v>
      </c>
      <c r="F286" t="s">
        <v>204</v>
      </c>
      <c r="G286" t="s">
        <v>1991</v>
      </c>
      <c r="H286">
        <v>5197</v>
      </c>
      <c r="I286">
        <v>166</v>
      </c>
      <c r="J286">
        <v>225</v>
      </c>
      <c r="K286">
        <v>4</v>
      </c>
      <c r="L286">
        <v>706649311</v>
      </c>
      <c r="M286">
        <v>556625</v>
      </c>
      <c r="N286">
        <v>1269.52</v>
      </c>
      <c r="O286">
        <v>71251</v>
      </c>
      <c r="P286">
        <v>3749</v>
      </c>
      <c r="Q286">
        <v>409</v>
      </c>
      <c r="R286" t="s">
        <v>1992</v>
      </c>
      <c r="S286" t="s">
        <v>1993</v>
      </c>
      <c r="T286" t="s">
        <v>1994</v>
      </c>
      <c r="U286" t="s">
        <v>1995</v>
      </c>
    </row>
    <row r="287" spans="1:21">
      <c r="A287" t="s">
        <v>2469</v>
      </c>
      <c r="B287" t="s">
        <v>2469</v>
      </c>
      <c r="C287" t="s">
        <v>2470</v>
      </c>
      <c r="D287" t="s">
        <v>2471</v>
      </c>
      <c r="E287" t="s">
        <v>1982</v>
      </c>
      <c r="F287" t="s">
        <v>204</v>
      </c>
      <c r="G287" t="s">
        <v>1991</v>
      </c>
      <c r="H287">
        <v>5328</v>
      </c>
      <c r="I287">
        <v>98</v>
      </c>
      <c r="J287">
        <v>161</v>
      </c>
      <c r="K287">
        <v>5</v>
      </c>
      <c r="L287">
        <v>650576141</v>
      </c>
      <c r="M287">
        <v>442745</v>
      </c>
      <c r="N287">
        <v>1469.41</v>
      </c>
      <c r="O287">
        <v>101407</v>
      </c>
      <c r="P287">
        <v>6662</v>
      </c>
      <c r="Q287">
        <v>435</v>
      </c>
      <c r="R287" t="s">
        <v>1992</v>
      </c>
      <c r="S287" t="s">
        <v>1993</v>
      </c>
      <c r="T287" t="s">
        <v>1994</v>
      </c>
      <c r="U287" t="s">
        <v>1995</v>
      </c>
    </row>
    <row r="288" spans="1:21">
      <c r="A288" t="s">
        <v>2078</v>
      </c>
      <c r="B288" t="s">
        <v>2078</v>
      </c>
      <c r="C288" t="s">
        <v>2079</v>
      </c>
      <c r="D288" t="s">
        <v>2080</v>
      </c>
      <c r="E288" t="s">
        <v>1982</v>
      </c>
      <c r="F288" t="s">
        <v>204</v>
      </c>
      <c r="G288" t="s">
        <v>1991</v>
      </c>
      <c r="H288">
        <v>1840</v>
      </c>
      <c r="I288">
        <v>2413</v>
      </c>
      <c r="J288">
        <v>1338</v>
      </c>
      <c r="K288">
        <v>1</v>
      </c>
      <c r="L288">
        <v>2234601921</v>
      </c>
      <c r="M288">
        <v>2161561</v>
      </c>
      <c r="N288">
        <v>1033.79</v>
      </c>
      <c r="O288">
        <v>51801</v>
      </c>
      <c r="P288">
        <v>2163</v>
      </c>
      <c r="Q288">
        <v>370</v>
      </c>
      <c r="R288" t="s">
        <v>1992</v>
      </c>
      <c r="S288" t="s">
        <v>1993</v>
      </c>
      <c r="T288" t="s">
        <v>1994</v>
      </c>
      <c r="U288" t="s">
        <v>1998</v>
      </c>
    </row>
    <row r="289" spans="1:21">
      <c r="A289" t="s">
        <v>2410</v>
      </c>
      <c r="B289" t="s">
        <v>2410</v>
      </c>
      <c r="C289" t="s">
        <v>2411</v>
      </c>
      <c r="D289" t="s">
        <v>2412</v>
      </c>
      <c r="E289" t="s">
        <v>1982</v>
      </c>
      <c r="F289" t="s">
        <v>204</v>
      </c>
      <c r="G289" t="s">
        <v>1991</v>
      </c>
      <c r="H289">
        <v>1718</v>
      </c>
      <c r="I289">
        <v>3308</v>
      </c>
      <c r="J289">
        <v>562</v>
      </c>
      <c r="K289">
        <v>4</v>
      </c>
      <c r="L289">
        <v>1662017352</v>
      </c>
      <c r="M289">
        <v>1888937</v>
      </c>
      <c r="N289">
        <v>879.87</v>
      </c>
      <c r="O289">
        <v>65706</v>
      </c>
      <c r="P289">
        <v>2603</v>
      </c>
      <c r="Q289">
        <v>297</v>
      </c>
      <c r="R289" t="s">
        <v>1992</v>
      </c>
      <c r="S289" t="s">
        <v>1993</v>
      </c>
      <c r="T289" t="s">
        <v>1994</v>
      </c>
      <c r="U289" t="s">
        <v>2010</v>
      </c>
    </row>
    <row r="290" spans="1:21">
      <c r="A290" t="s">
        <v>2115</v>
      </c>
      <c r="B290" t="s">
        <v>2115</v>
      </c>
      <c r="C290" t="s">
        <v>2116</v>
      </c>
      <c r="D290" t="s">
        <v>2117</v>
      </c>
      <c r="E290" t="s">
        <v>1982</v>
      </c>
      <c r="F290" t="s">
        <v>204</v>
      </c>
      <c r="G290" t="s">
        <v>1991</v>
      </c>
      <c r="H290">
        <v>5256</v>
      </c>
      <c r="I290">
        <v>160</v>
      </c>
      <c r="J290">
        <v>173</v>
      </c>
      <c r="K290">
        <v>3</v>
      </c>
      <c r="L290">
        <v>1000375952</v>
      </c>
      <c r="M290">
        <v>1483676</v>
      </c>
      <c r="N290">
        <v>674.25</v>
      </c>
      <c r="O290">
        <v>109016</v>
      </c>
      <c r="P290">
        <v>1747</v>
      </c>
      <c r="Q290">
        <v>249</v>
      </c>
      <c r="R290" t="s">
        <v>1992</v>
      </c>
      <c r="S290" t="s">
        <v>1993</v>
      </c>
      <c r="T290" t="s">
        <v>1994</v>
      </c>
      <c r="U290" t="s">
        <v>1998</v>
      </c>
    </row>
    <row r="291" spans="1:21">
      <c r="A291" t="s">
        <v>2222</v>
      </c>
      <c r="B291" t="s">
        <v>2222</v>
      </c>
      <c r="C291" t="s">
        <v>2223</v>
      </c>
      <c r="D291" t="s">
        <v>2224</v>
      </c>
      <c r="E291" t="s">
        <v>1982</v>
      </c>
      <c r="F291" t="s">
        <v>204</v>
      </c>
      <c r="G291" t="s">
        <v>1991</v>
      </c>
      <c r="H291">
        <v>1637</v>
      </c>
      <c r="I291">
        <v>1914</v>
      </c>
      <c r="J291">
        <v>2039</v>
      </c>
      <c r="K291">
        <v>2</v>
      </c>
      <c r="L291">
        <v>4513801310</v>
      </c>
      <c r="M291">
        <v>6869977</v>
      </c>
      <c r="N291">
        <v>657.03</v>
      </c>
      <c r="O291">
        <v>55764</v>
      </c>
      <c r="P291">
        <v>999</v>
      </c>
      <c r="Q291">
        <v>283</v>
      </c>
      <c r="R291" t="s">
        <v>1992</v>
      </c>
      <c r="S291" t="s">
        <v>1993</v>
      </c>
      <c r="T291" t="s">
        <v>1994</v>
      </c>
      <c r="U291" t="s">
        <v>1998</v>
      </c>
    </row>
    <row r="292" spans="1:21">
      <c r="A292" t="s">
        <v>1996</v>
      </c>
      <c r="B292" t="s">
        <v>1996</v>
      </c>
      <c r="C292" t="s">
        <v>1997</v>
      </c>
      <c r="D292" t="s">
        <v>31</v>
      </c>
      <c r="E292" t="s">
        <v>1982</v>
      </c>
      <c r="F292" t="s">
        <v>204</v>
      </c>
      <c r="G292" t="s">
        <v>1991</v>
      </c>
      <c r="H292">
        <v>1564</v>
      </c>
      <c r="I292">
        <v>3104</v>
      </c>
      <c r="J292">
        <v>923</v>
      </c>
      <c r="K292">
        <v>1</v>
      </c>
      <c r="L292">
        <v>3039437005</v>
      </c>
      <c r="M292">
        <v>4093494</v>
      </c>
      <c r="N292">
        <v>742.5</v>
      </c>
      <c r="O292">
        <v>90292</v>
      </c>
      <c r="P292">
        <v>2795</v>
      </c>
      <c r="Q292">
        <v>257</v>
      </c>
      <c r="R292" t="s">
        <v>1992</v>
      </c>
      <c r="S292" t="s">
        <v>1993</v>
      </c>
      <c r="T292" t="s">
        <v>1994</v>
      </c>
      <c r="U292" t="s">
        <v>1998</v>
      </c>
    </row>
    <row r="293" spans="1:21">
      <c r="A293" t="s">
        <v>3454</v>
      </c>
      <c r="B293" t="s">
        <v>3454</v>
      </c>
      <c r="C293" t="s">
        <v>3455</v>
      </c>
      <c r="D293" t="s">
        <v>3456</v>
      </c>
      <c r="E293" t="s">
        <v>1982</v>
      </c>
      <c r="F293" t="s">
        <v>204</v>
      </c>
      <c r="G293" t="s">
        <v>1991</v>
      </c>
      <c r="H293">
        <v>4763</v>
      </c>
      <c r="I293">
        <v>382</v>
      </c>
      <c r="J293">
        <v>447</v>
      </c>
      <c r="K293">
        <v>0</v>
      </c>
      <c r="L293">
        <v>3034532982</v>
      </c>
      <c r="M293">
        <v>6747484</v>
      </c>
      <c r="N293">
        <v>449.73</v>
      </c>
      <c r="O293">
        <v>63292</v>
      </c>
      <c r="P293">
        <v>431</v>
      </c>
      <c r="Q293">
        <v>232</v>
      </c>
      <c r="R293" t="s">
        <v>1992</v>
      </c>
      <c r="S293" t="s">
        <v>1993</v>
      </c>
      <c r="T293" t="s">
        <v>1994</v>
      </c>
      <c r="U293" t="s">
        <v>31</v>
      </c>
    </row>
    <row r="294" spans="1:21">
      <c r="A294" t="s">
        <v>3457</v>
      </c>
      <c r="B294" t="s">
        <v>3457</v>
      </c>
      <c r="C294" t="s">
        <v>3458</v>
      </c>
      <c r="D294" t="s">
        <v>3459</v>
      </c>
      <c r="E294" t="s">
        <v>1982</v>
      </c>
      <c r="F294" t="s">
        <v>204</v>
      </c>
      <c r="G294" t="s">
        <v>1991</v>
      </c>
      <c r="H294">
        <v>1632</v>
      </c>
      <c r="I294">
        <v>2311</v>
      </c>
      <c r="J294">
        <v>1649</v>
      </c>
      <c r="K294">
        <v>0</v>
      </c>
      <c r="L294">
        <v>5564868597</v>
      </c>
      <c r="M294">
        <v>8982454</v>
      </c>
      <c r="N294">
        <v>619.53</v>
      </c>
      <c r="O294">
        <v>460097</v>
      </c>
      <c r="P294">
        <v>782</v>
      </c>
      <c r="Q294">
        <v>292</v>
      </c>
      <c r="R294" t="s">
        <v>1992</v>
      </c>
      <c r="S294" t="s">
        <v>1993</v>
      </c>
      <c r="T294" t="s">
        <v>1994</v>
      </c>
      <c r="U294" t="s">
        <v>3460</v>
      </c>
    </row>
    <row r="295" spans="1:21">
      <c r="A295" t="s">
        <v>2413</v>
      </c>
      <c r="B295" t="s">
        <v>2413</v>
      </c>
      <c r="C295" t="s">
        <v>2414</v>
      </c>
      <c r="D295" t="s">
        <v>2415</v>
      </c>
      <c r="E295" t="s">
        <v>1982</v>
      </c>
      <c r="F295" t="s">
        <v>204</v>
      </c>
      <c r="G295" t="s">
        <v>1991</v>
      </c>
      <c r="H295">
        <v>1052</v>
      </c>
      <c r="I295">
        <v>3980</v>
      </c>
      <c r="J295">
        <v>558</v>
      </c>
      <c r="K295">
        <v>2</v>
      </c>
      <c r="L295">
        <v>1890001594</v>
      </c>
      <c r="M295">
        <v>2759545</v>
      </c>
      <c r="N295">
        <v>684.9</v>
      </c>
      <c r="O295">
        <v>81579</v>
      </c>
      <c r="P295">
        <v>1450</v>
      </c>
      <c r="Q295">
        <v>263</v>
      </c>
      <c r="R295" t="s">
        <v>1992</v>
      </c>
      <c r="S295" t="s">
        <v>1993</v>
      </c>
      <c r="T295" t="s">
        <v>1994</v>
      </c>
      <c r="U295" t="s">
        <v>2010</v>
      </c>
    </row>
    <row r="296" spans="1:21">
      <c r="A296" t="s">
        <v>3380</v>
      </c>
      <c r="B296" t="s">
        <v>3380</v>
      </c>
      <c r="C296" t="s">
        <v>3381</v>
      </c>
      <c r="D296" t="s">
        <v>3382</v>
      </c>
      <c r="E296" t="s">
        <v>1987</v>
      </c>
      <c r="F296" t="s">
        <v>204</v>
      </c>
      <c r="G296" t="s">
        <v>1991</v>
      </c>
      <c r="H296">
        <v>4413</v>
      </c>
      <c r="I296">
        <v>237</v>
      </c>
      <c r="J296">
        <v>936</v>
      </c>
      <c r="K296">
        <v>6</v>
      </c>
      <c r="L296">
        <v>1684322616</v>
      </c>
      <c r="M296">
        <v>3053104</v>
      </c>
      <c r="N296">
        <v>551.67999999999995</v>
      </c>
      <c r="O296">
        <v>43965</v>
      </c>
      <c r="P296">
        <v>659</v>
      </c>
      <c r="Q296">
        <v>258</v>
      </c>
      <c r="R296" t="s">
        <v>1992</v>
      </c>
      <c r="S296" t="s">
        <v>1993</v>
      </c>
      <c r="T296" t="s">
        <v>1994</v>
      </c>
      <c r="U296" t="s">
        <v>2011</v>
      </c>
    </row>
    <row r="297" spans="1:21">
      <c r="A297" t="s">
        <v>3371</v>
      </c>
      <c r="B297" t="s">
        <v>3371</v>
      </c>
      <c r="C297" t="s">
        <v>3372</v>
      </c>
      <c r="D297" t="s">
        <v>3373</v>
      </c>
      <c r="E297" t="s">
        <v>1987</v>
      </c>
      <c r="F297" t="s">
        <v>204</v>
      </c>
      <c r="G297" t="s">
        <v>1991</v>
      </c>
      <c r="H297">
        <v>2105</v>
      </c>
      <c r="I297">
        <v>2822</v>
      </c>
      <c r="J297">
        <v>664</v>
      </c>
      <c r="K297">
        <v>1</v>
      </c>
      <c r="L297">
        <v>1189861008</v>
      </c>
      <c r="M297">
        <v>850705</v>
      </c>
      <c r="N297">
        <v>1398.68</v>
      </c>
      <c r="O297">
        <v>70878</v>
      </c>
      <c r="P297">
        <v>4775</v>
      </c>
      <c r="Q297">
        <v>400</v>
      </c>
      <c r="R297" t="s">
        <v>1992</v>
      </c>
      <c r="S297" t="s">
        <v>1993</v>
      </c>
      <c r="T297" t="s">
        <v>1994</v>
      </c>
      <c r="U297" t="s">
        <v>2011</v>
      </c>
    </row>
    <row r="298" spans="1:21">
      <c r="A298" t="s">
        <v>3434</v>
      </c>
      <c r="B298" t="s">
        <v>3434</v>
      </c>
      <c r="C298" t="s">
        <v>3435</v>
      </c>
      <c r="D298" t="s">
        <v>3436</v>
      </c>
      <c r="E298" t="s">
        <v>1982</v>
      </c>
      <c r="F298" t="s">
        <v>204</v>
      </c>
      <c r="G298" t="s">
        <v>1991</v>
      </c>
      <c r="H298">
        <v>4387</v>
      </c>
      <c r="I298">
        <v>429</v>
      </c>
      <c r="J298">
        <v>774</v>
      </c>
      <c r="K298">
        <v>2</v>
      </c>
      <c r="L298">
        <v>978693632</v>
      </c>
      <c r="M298">
        <v>1246260</v>
      </c>
      <c r="N298">
        <v>785.3</v>
      </c>
      <c r="O298">
        <v>56185</v>
      </c>
      <c r="P298">
        <v>1060</v>
      </c>
      <c r="Q298">
        <v>339</v>
      </c>
      <c r="R298" t="s">
        <v>1992</v>
      </c>
      <c r="S298" t="s">
        <v>1993</v>
      </c>
      <c r="T298" t="s">
        <v>1994</v>
      </c>
      <c r="U298" t="s">
        <v>1995</v>
      </c>
    </row>
    <row r="299" spans="1:21">
      <c r="A299" t="s">
        <v>3437</v>
      </c>
      <c r="B299" t="s">
        <v>3437</v>
      </c>
      <c r="C299" t="s">
        <v>3438</v>
      </c>
      <c r="D299" t="s">
        <v>3439</v>
      </c>
      <c r="E299" t="s">
        <v>1982</v>
      </c>
      <c r="F299" t="s">
        <v>204</v>
      </c>
      <c r="G299" t="s">
        <v>1991</v>
      </c>
      <c r="H299">
        <v>5075</v>
      </c>
      <c r="I299">
        <v>290</v>
      </c>
      <c r="J299">
        <v>225</v>
      </c>
      <c r="K299">
        <v>2</v>
      </c>
      <c r="L299">
        <v>683132378</v>
      </c>
      <c r="M299">
        <v>772232</v>
      </c>
      <c r="N299">
        <v>884.62</v>
      </c>
      <c r="O299">
        <v>96968</v>
      </c>
      <c r="P299">
        <v>3996</v>
      </c>
      <c r="Q299">
        <v>283</v>
      </c>
      <c r="R299" t="s">
        <v>1992</v>
      </c>
      <c r="S299" t="s">
        <v>1993</v>
      </c>
      <c r="T299" t="s">
        <v>1994</v>
      </c>
      <c r="U299" t="s">
        <v>1995</v>
      </c>
    </row>
    <row r="300" spans="1:21">
      <c r="A300" t="s">
        <v>2978</v>
      </c>
      <c r="B300" t="s">
        <v>2978</v>
      </c>
      <c r="C300" t="s">
        <v>2979</v>
      </c>
      <c r="D300" t="s">
        <v>2980</v>
      </c>
      <c r="E300" t="s">
        <v>1987</v>
      </c>
      <c r="F300" t="s">
        <v>204</v>
      </c>
      <c r="G300" t="s">
        <v>1991</v>
      </c>
      <c r="H300">
        <v>5167</v>
      </c>
      <c r="I300">
        <v>66</v>
      </c>
      <c r="J300">
        <v>355</v>
      </c>
      <c r="K300">
        <v>4</v>
      </c>
      <c r="L300">
        <v>740428902</v>
      </c>
      <c r="M300">
        <v>608492</v>
      </c>
      <c r="N300">
        <v>1216.83</v>
      </c>
      <c r="O300">
        <v>399447</v>
      </c>
      <c r="P300">
        <v>3266</v>
      </c>
      <c r="Q300">
        <v>384</v>
      </c>
      <c r="R300" t="s">
        <v>1992</v>
      </c>
      <c r="S300" t="s">
        <v>1993</v>
      </c>
      <c r="T300" t="s">
        <v>1994</v>
      </c>
      <c r="U300" t="s">
        <v>31</v>
      </c>
    </row>
    <row r="301" spans="1:21">
      <c r="A301" t="s">
        <v>2890</v>
      </c>
      <c r="B301" t="s">
        <v>2890</v>
      </c>
      <c r="C301" t="s">
        <v>2891</v>
      </c>
      <c r="D301" t="s">
        <v>2892</v>
      </c>
      <c r="E301" t="s">
        <v>1987</v>
      </c>
      <c r="F301" t="s">
        <v>204</v>
      </c>
      <c r="G301" t="s">
        <v>1991</v>
      </c>
      <c r="H301">
        <v>5397</v>
      </c>
      <c r="I301">
        <v>82</v>
      </c>
      <c r="J301">
        <v>110</v>
      </c>
      <c r="K301">
        <v>3</v>
      </c>
      <c r="L301">
        <v>642492443</v>
      </c>
      <c r="M301">
        <v>416553</v>
      </c>
      <c r="N301">
        <v>1542.4</v>
      </c>
      <c r="O301">
        <v>116708</v>
      </c>
      <c r="P301">
        <v>12564</v>
      </c>
      <c r="Q301">
        <v>350</v>
      </c>
      <c r="R301" t="s">
        <v>1992</v>
      </c>
      <c r="S301" t="s">
        <v>1993</v>
      </c>
      <c r="T301" t="s">
        <v>1994</v>
      </c>
      <c r="U301" t="s">
        <v>2284</v>
      </c>
    </row>
    <row r="302" spans="1:21">
      <c r="A302" t="s">
        <v>2881</v>
      </c>
      <c r="B302" t="s">
        <v>2881</v>
      </c>
      <c r="C302" t="s">
        <v>2882</v>
      </c>
      <c r="D302" t="s">
        <v>2883</v>
      </c>
      <c r="E302" t="s">
        <v>1982</v>
      </c>
      <c r="F302" t="s">
        <v>204</v>
      </c>
      <c r="G302" t="s">
        <v>1991</v>
      </c>
      <c r="H302">
        <v>3342</v>
      </c>
      <c r="I302">
        <v>1070</v>
      </c>
      <c r="J302">
        <v>1179</v>
      </c>
      <c r="K302">
        <v>1</v>
      </c>
      <c r="L302">
        <v>1622301297</v>
      </c>
      <c r="M302">
        <v>2255103</v>
      </c>
      <c r="N302">
        <v>719.39</v>
      </c>
      <c r="O302">
        <v>48456</v>
      </c>
      <c r="P302">
        <v>1020</v>
      </c>
      <c r="Q302">
        <v>309</v>
      </c>
      <c r="R302" t="s">
        <v>1992</v>
      </c>
      <c r="S302" t="s">
        <v>1993</v>
      </c>
      <c r="T302" t="s">
        <v>1994</v>
      </c>
      <c r="U302" t="s">
        <v>2284</v>
      </c>
    </row>
    <row r="303" spans="1:21">
      <c r="A303" t="s">
        <v>2794</v>
      </c>
      <c r="B303" t="s">
        <v>2794</v>
      </c>
      <c r="C303" t="s">
        <v>2795</v>
      </c>
      <c r="D303" t="s">
        <v>2796</v>
      </c>
      <c r="E303" t="s">
        <v>1982</v>
      </c>
      <c r="F303" t="s">
        <v>204</v>
      </c>
      <c r="G303" t="s">
        <v>1991</v>
      </c>
      <c r="H303">
        <v>4099</v>
      </c>
      <c r="I303">
        <v>851</v>
      </c>
      <c r="J303">
        <v>636</v>
      </c>
      <c r="K303">
        <v>6</v>
      </c>
      <c r="L303">
        <v>770545789</v>
      </c>
      <c r="M303">
        <v>779263</v>
      </c>
      <c r="N303">
        <v>988.81</v>
      </c>
      <c r="O303">
        <v>79653</v>
      </c>
      <c r="P303">
        <v>2752</v>
      </c>
      <c r="Q303">
        <v>322</v>
      </c>
      <c r="R303" t="s">
        <v>1992</v>
      </c>
      <c r="S303" t="s">
        <v>1993</v>
      </c>
      <c r="T303" t="s">
        <v>1994</v>
      </c>
      <c r="U303" t="s">
        <v>1998</v>
      </c>
    </row>
    <row r="304" spans="1:21">
      <c r="A304" t="s">
        <v>2785</v>
      </c>
      <c r="B304" t="s">
        <v>2785</v>
      </c>
      <c r="C304" t="s">
        <v>2786</v>
      </c>
      <c r="D304" t="s">
        <v>2787</v>
      </c>
      <c r="E304" t="s">
        <v>1982</v>
      </c>
      <c r="F304" t="s">
        <v>204</v>
      </c>
      <c r="G304" t="s">
        <v>1991</v>
      </c>
      <c r="H304">
        <v>4304</v>
      </c>
      <c r="I304">
        <v>730</v>
      </c>
      <c r="J304">
        <v>555</v>
      </c>
      <c r="K304">
        <v>3</v>
      </c>
      <c r="L304">
        <v>1251217534</v>
      </c>
      <c r="M304">
        <v>1967477</v>
      </c>
      <c r="N304">
        <v>635.95000000000005</v>
      </c>
      <c r="O304">
        <v>65065</v>
      </c>
      <c r="P304">
        <v>1266</v>
      </c>
      <c r="Q304">
        <v>253</v>
      </c>
      <c r="R304" t="s">
        <v>1992</v>
      </c>
      <c r="S304" t="s">
        <v>1993</v>
      </c>
      <c r="T304" t="s">
        <v>1994</v>
      </c>
      <c r="U304" t="s">
        <v>1998</v>
      </c>
    </row>
    <row r="305" spans="1:21">
      <c r="A305" t="s">
        <v>3152</v>
      </c>
      <c r="B305" t="s">
        <v>3152</v>
      </c>
      <c r="C305" t="s">
        <v>3153</v>
      </c>
      <c r="D305" t="s">
        <v>3154</v>
      </c>
      <c r="E305" t="s">
        <v>1982</v>
      </c>
      <c r="F305" t="s">
        <v>204</v>
      </c>
      <c r="G305" t="s">
        <v>1991</v>
      </c>
      <c r="H305">
        <v>1285</v>
      </c>
      <c r="I305">
        <v>3429</v>
      </c>
      <c r="J305">
        <v>878</v>
      </c>
      <c r="K305">
        <v>0</v>
      </c>
      <c r="L305">
        <v>2040824669</v>
      </c>
      <c r="M305">
        <v>1991700</v>
      </c>
      <c r="N305">
        <v>1024.6600000000001</v>
      </c>
      <c r="O305">
        <v>109430</v>
      </c>
      <c r="P305">
        <v>5928</v>
      </c>
      <c r="Q305">
        <v>283</v>
      </c>
      <c r="R305" t="s">
        <v>1992</v>
      </c>
      <c r="S305" t="s">
        <v>1993</v>
      </c>
      <c r="T305" t="s">
        <v>1994</v>
      </c>
      <c r="U305" t="s">
        <v>2001</v>
      </c>
    </row>
    <row r="306" spans="1:21">
      <c r="A306" t="s">
        <v>2368</v>
      </c>
      <c r="B306" t="s">
        <v>2368</v>
      </c>
      <c r="C306" t="s">
        <v>2369</v>
      </c>
      <c r="D306" t="s">
        <v>2370</v>
      </c>
      <c r="E306" t="s">
        <v>1982</v>
      </c>
      <c r="F306" t="s">
        <v>204</v>
      </c>
      <c r="G306" t="s">
        <v>1991</v>
      </c>
      <c r="H306">
        <v>1697</v>
      </c>
      <c r="I306">
        <v>3217</v>
      </c>
      <c r="J306">
        <v>677</v>
      </c>
      <c r="K306">
        <v>1</v>
      </c>
      <c r="L306">
        <v>2025274914</v>
      </c>
      <c r="M306">
        <v>2572347</v>
      </c>
      <c r="N306">
        <v>787.33</v>
      </c>
      <c r="O306">
        <v>100722</v>
      </c>
      <c r="P306">
        <v>3514</v>
      </c>
      <c r="Q306">
        <v>258</v>
      </c>
      <c r="R306" t="s">
        <v>1992</v>
      </c>
      <c r="S306" t="s">
        <v>1993</v>
      </c>
      <c r="T306" t="s">
        <v>1994</v>
      </c>
      <c r="U306" t="s">
        <v>1995</v>
      </c>
    </row>
    <row r="307" spans="1:21">
      <c r="A307" t="s">
        <v>2475</v>
      </c>
      <c r="B307" t="s">
        <v>2475</v>
      </c>
      <c r="C307" t="s">
        <v>2476</v>
      </c>
      <c r="D307" t="s">
        <v>2477</v>
      </c>
      <c r="E307" t="s">
        <v>1982</v>
      </c>
      <c r="F307" t="s">
        <v>204</v>
      </c>
      <c r="G307" t="s">
        <v>1991</v>
      </c>
      <c r="H307">
        <v>2005</v>
      </c>
      <c r="I307">
        <v>2251</v>
      </c>
      <c r="J307">
        <v>1334</v>
      </c>
      <c r="K307">
        <v>2</v>
      </c>
      <c r="L307">
        <v>2092158856</v>
      </c>
      <c r="M307">
        <v>4642814</v>
      </c>
      <c r="N307">
        <v>450.62</v>
      </c>
      <c r="O307">
        <v>51712</v>
      </c>
      <c r="P307">
        <v>397</v>
      </c>
      <c r="Q307">
        <v>225</v>
      </c>
      <c r="R307" t="s">
        <v>1992</v>
      </c>
      <c r="S307" t="s">
        <v>1993</v>
      </c>
      <c r="T307" t="s">
        <v>1994</v>
      </c>
      <c r="U307" t="s">
        <v>1995</v>
      </c>
    </row>
    <row r="308" spans="1:21">
      <c r="A308" t="s">
        <v>2487</v>
      </c>
      <c r="B308" t="s">
        <v>2487</v>
      </c>
      <c r="C308" t="s">
        <v>2488</v>
      </c>
      <c r="D308" t="s">
        <v>2489</v>
      </c>
      <c r="E308" t="s">
        <v>31</v>
      </c>
      <c r="F308" t="s">
        <v>204</v>
      </c>
      <c r="G308" t="s">
        <v>1991</v>
      </c>
      <c r="H308">
        <v>4248</v>
      </c>
      <c r="I308">
        <v>105</v>
      </c>
      <c r="J308">
        <v>1238</v>
      </c>
      <c r="K308">
        <v>1</v>
      </c>
      <c r="L308">
        <v>689409707</v>
      </c>
      <c r="M308">
        <v>762526</v>
      </c>
      <c r="N308">
        <v>904.11</v>
      </c>
      <c r="O308">
        <v>41988</v>
      </c>
      <c r="P308">
        <v>1772</v>
      </c>
      <c r="Q308">
        <v>326</v>
      </c>
      <c r="R308" t="s">
        <v>1992</v>
      </c>
      <c r="S308" t="s">
        <v>1993</v>
      </c>
      <c r="T308" t="s">
        <v>1994</v>
      </c>
      <c r="U308" t="s">
        <v>1995</v>
      </c>
    </row>
    <row r="309" spans="1:21">
      <c r="A309" t="s">
        <v>2517</v>
      </c>
      <c r="B309" t="s">
        <v>2517</v>
      </c>
      <c r="C309" t="s">
        <v>2518</v>
      </c>
      <c r="D309" t="s">
        <v>2519</v>
      </c>
      <c r="E309" t="s">
        <v>1982</v>
      </c>
      <c r="F309" t="s">
        <v>204</v>
      </c>
      <c r="G309" t="s">
        <v>1991</v>
      </c>
      <c r="H309">
        <v>4973</v>
      </c>
      <c r="I309">
        <v>245</v>
      </c>
      <c r="J309">
        <v>372</v>
      </c>
      <c r="K309">
        <v>2</v>
      </c>
      <c r="L309">
        <v>1020633876</v>
      </c>
      <c r="M309">
        <v>1478979</v>
      </c>
      <c r="N309">
        <v>690.09</v>
      </c>
      <c r="O309">
        <v>83855</v>
      </c>
      <c r="P309">
        <v>1523</v>
      </c>
      <c r="Q309">
        <v>260</v>
      </c>
      <c r="R309" t="s">
        <v>1992</v>
      </c>
      <c r="S309" t="s">
        <v>1993</v>
      </c>
      <c r="T309" t="s">
        <v>1994</v>
      </c>
      <c r="U309" t="s">
        <v>1995</v>
      </c>
    </row>
    <row r="310" spans="1:21">
      <c r="A310" t="s">
        <v>3342</v>
      </c>
      <c r="B310" t="s">
        <v>3342</v>
      </c>
      <c r="C310" t="s">
        <v>3343</v>
      </c>
      <c r="D310" t="s">
        <v>3344</v>
      </c>
      <c r="E310" t="s">
        <v>1982</v>
      </c>
      <c r="F310" t="s">
        <v>204</v>
      </c>
      <c r="G310" t="s">
        <v>1991</v>
      </c>
      <c r="H310">
        <v>5001</v>
      </c>
      <c r="I310">
        <v>254</v>
      </c>
      <c r="J310">
        <v>333</v>
      </c>
      <c r="K310">
        <v>4</v>
      </c>
      <c r="L310">
        <v>1285230049</v>
      </c>
      <c r="M310">
        <v>2549608</v>
      </c>
      <c r="N310">
        <v>504.09</v>
      </c>
      <c r="O310">
        <v>66696</v>
      </c>
      <c r="P310">
        <v>533</v>
      </c>
      <c r="Q310">
        <v>231</v>
      </c>
      <c r="R310" t="s">
        <v>1992</v>
      </c>
      <c r="S310" t="s">
        <v>1993</v>
      </c>
      <c r="T310" t="s">
        <v>1994</v>
      </c>
      <c r="U310" t="s">
        <v>2289</v>
      </c>
    </row>
    <row r="311" spans="1:21">
      <c r="A311" t="s">
        <v>2328</v>
      </c>
      <c r="B311" t="s">
        <v>2328</v>
      </c>
      <c r="C311" t="s">
        <v>2329</v>
      </c>
      <c r="D311" t="s">
        <v>2330</v>
      </c>
      <c r="E311" t="s">
        <v>1982</v>
      </c>
      <c r="F311" t="s">
        <v>204</v>
      </c>
      <c r="G311" t="s">
        <v>1991</v>
      </c>
      <c r="H311">
        <v>1430</v>
      </c>
      <c r="I311">
        <v>3490</v>
      </c>
      <c r="J311">
        <v>671</v>
      </c>
      <c r="K311">
        <v>1</v>
      </c>
      <c r="L311">
        <v>1548248767</v>
      </c>
      <c r="M311">
        <v>1921496</v>
      </c>
      <c r="N311">
        <v>805.75</v>
      </c>
      <c r="O311">
        <v>78352</v>
      </c>
      <c r="P311">
        <v>1981</v>
      </c>
      <c r="Q311">
        <v>283</v>
      </c>
      <c r="R311" t="s">
        <v>1992</v>
      </c>
      <c r="S311" t="s">
        <v>1993</v>
      </c>
      <c r="T311" t="s">
        <v>1994</v>
      </c>
      <c r="U311" t="s">
        <v>1995</v>
      </c>
    </row>
    <row r="312" spans="1:21">
      <c r="A312" t="s">
        <v>2337</v>
      </c>
      <c r="B312" t="s">
        <v>2337</v>
      </c>
      <c r="C312" t="s">
        <v>2338</v>
      </c>
      <c r="D312" t="s">
        <v>2339</v>
      </c>
      <c r="E312" t="s">
        <v>1982</v>
      </c>
      <c r="F312" t="s">
        <v>204</v>
      </c>
      <c r="G312" t="s">
        <v>1991</v>
      </c>
      <c r="H312">
        <v>1702</v>
      </c>
      <c r="I312">
        <v>1957</v>
      </c>
      <c r="J312">
        <v>1932</v>
      </c>
      <c r="K312">
        <v>1</v>
      </c>
      <c r="L312">
        <v>3841939809</v>
      </c>
      <c r="M312">
        <v>4870290</v>
      </c>
      <c r="N312">
        <v>788.85</v>
      </c>
      <c r="O312">
        <v>75263</v>
      </c>
      <c r="P312">
        <v>1664</v>
      </c>
      <c r="Q312">
        <v>283</v>
      </c>
      <c r="R312" t="s">
        <v>1992</v>
      </c>
      <c r="S312" t="s">
        <v>1993</v>
      </c>
      <c r="T312" t="s">
        <v>1994</v>
      </c>
      <c r="U312" t="s">
        <v>1995</v>
      </c>
    </row>
    <row r="313" spans="1:21">
      <c r="A313" t="s">
        <v>2340</v>
      </c>
      <c r="B313" t="s">
        <v>2340</v>
      </c>
      <c r="C313" t="s">
        <v>2341</v>
      </c>
      <c r="D313" t="s">
        <v>2342</v>
      </c>
      <c r="E313" t="s">
        <v>1982</v>
      </c>
      <c r="F313" t="s">
        <v>204</v>
      </c>
      <c r="G313" t="s">
        <v>1991</v>
      </c>
      <c r="H313">
        <v>1688</v>
      </c>
      <c r="I313">
        <v>3147</v>
      </c>
      <c r="J313">
        <v>756</v>
      </c>
      <c r="K313">
        <v>1</v>
      </c>
      <c r="L313">
        <v>2966141810</v>
      </c>
      <c r="M313">
        <v>5006367</v>
      </c>
      <c r="N313">
        <v>592.47</v>
      </c>
      <c r="O313">
        <v>75404</v>
      </c>
      <c r="P313">
        <v>1006</v>
      </c>
      <c r="Q313">
        <v>242</v>
      </c>
      <c r="R313" t="s">
        <v>1992</v>
      </c>
      <c r="S313" t="s">
        <v>1993</v>
      </c>
      <c r="T313" t="s">
        <v>1994</v>
      </c>
      <c r="U313" t="s">
        <v>1995</v>
      </c>
    </row>
    <row r="314" spans="1:21">
      <c r="A314" t="s">
        <v>2346</v>
      </c>
      <c r="B314" t="s">
        <v>2346</v>
      </c>
      <c r="C314" t="s">
        <v>2347</v>
      </c>
      <c r="D314" t="s">
        <v>2348</v>
      </c>
      <c r="E314" t="s">
        <v>1982</v>
      </c>
      <c r="F314" t="s">
        <v>204</v>
      </c>
      <c r="G314" t="s">
        <v>1991</v>
      </c>
      <c r="H314">
        <v>1546</v>
      </c>
      <c r="I314">
        <v>3230</v>
      </c>
      <c r="J314">
        <v>815</v>
      </c>
      <c r="K314">
        <v>1</v>
      </c>
      <c r="L314">
        <v>1746042810</v>
      </c>
      <c r="M314">
        <v>2386551</v>
      </c>
      <c r="N314">
        <v>731.62</v>
      </c>
      <c r="O314">
        <v>60853</v>
      </c>
      <c r="P314">
        <v>1520</v>
      </c>
      <c r="Q314">
        <v>283</v>
      </c>
      <c r="R314" t="s">
        <v>1992</v>
      </c>
      <c r="S314" t="s">
        <v>1993</v>
      </c>
      <c r="T314" t="s">
        <v>1994</v>
      </c>
      <c r="U314" t="s">
        <v>1995</v>
      </c>
    </row>
    <row r="315" spans="1:21">
      <c r="A315" t="s">
        <v>2352</v>
      </c>
      <c r="B315" t="s">
        <v>2352</v>
      </c>
      <c r="C315" t="s">
        <v>2353</v>
      </c>
      <c r="D315" t="s">
        <v>2354</v>
      </c>
      <c r="E315" t="s">
        <v>1982</v>
      </c>
      <c r="F315" t="s">
        <v>204</v>
      </c>
      <c r="G315" t="s">
        <v>1991</v>
      </c>
      <c r="H315">
        <v>1750</v>
      </c>
      <c r="I315">
        <v>2553</v>
      </c>
      <c r="J315">
        <v>1288</v>
      </c>
      <c r="K315">
        <v>1</v>
      </c>
      <c r="L315">
        <v>4068390443</v>
      </c>
      <c r="M315">
        <v>5306756</v>
      </c>
      <c r="N315">
        <v>766.64</v>
      </c>
      <c r="O315">
        <v>129351</v>
      </c>
      <c r="P315">
        <v>1924</v>
      </c>
      <c r="Q315">
        <v>271</v>
      </c>
      <c r="R315" t="s">
        <v>1992</v>
      </c>
      <c r="S315" t="s">
        <v>1993</v>
      </c>
      <c r="T315" t="s">
        <v>1994</v>
      </c>
      <c r="U315" t="s">
        <v>1995</v>
      </c>
    </row>
    <row r="316" spans="1:21">
      <c r="A316" t="s">
        <v>2358</v>
      </c>
      <c r="B316" t="s">
        <v>2358</v>
      </c>
      <c r="C316" t="s">
        <v>2359</v>
      </c>
      <c r="D316" t="s">
        <v>2360</v>
      </c>
      <c r="E316" t="s">
        <v>1982</v>
      </c>
      <c r="F316" t="s">
        <v>204</v>
      </c>
      <c r="G316" t="s">
        <v>1991</v>
      </c>
      <c r="H316">
        <v>3692</v>
      </c>
      <c r="I316">
        <v>1173</v>
      </c>
      <c r="J316">
        <v>726</v>
      </c>
      <c r="K316">
        <v>1</v>
      </c>
      <c r="L316">
        <v>1177418609</v>
      </c>
      <c r="M316">
        <v>1634813</v>
      </c>
      <c r="N316">
        <v>720.22</v>
      </c>
      <c r="O316">
        <v>61376</v>
      </c>
      <c r="P316">
        <v>1530</v>
      </c>
      <c r="Q316">
        <v>281</v>
      </c>
      <c r="R316" t="s">
        <v>1992</v>
      </c>
      <c r="S316" t="s">
        <v>1993</v>
      </c>
      <c r="T316" t="s">
        <v>1994</v>
      </c>
      <c r="U316" t="s">
        <v>1995</v>
      </c>
    </row>
    <row r="317" spans="1:21">
      <c r="A317" t="s">
        <v>3053</v>
      </c>
      <c r="B317" t="s">
        <v>3053</v>
      </c>
      <c r="C317" t="s">
        <v>3054</v>
      </c>
      <c r="D317" t="s">
        <v>3055</v>
      </c>
      <c r="E317" t="s">
        <v>1987</v>
      </c>
      <c r="F317" t="s">
        <v>204</v>
      </c>
      <c r="G317" t="s">
        <v>1991</v>
      </c>
      <c r="H317">
        <v>5375</v>
      </c>
      <c r="I317">
        <v>114</v>
      </c>
      <c r="J317">
        <v>100</v>
      </c>
      <c r="K317">
        <v>3</v>
      </c>
      <c r="L317">
        <v>668610289</v>
      </c>
      <c r="M317">
        <v>665512</v>
      </c>
      <c r="N317">
        <v>1004.66</v>
      </c>
      <c r="O317">
        <v>132362</v>
      </c>
      <c r="P317">
        <v>7376</v>
      </c>
      <c r="Q317">
        <v>283</v>
      </c>
      <c r="R317" t="s">
        <v>1992</v>
      </c>
      <c r="S317" t="s">
        <v>1993</v>
      </c>
      <c r="T317" t="s">
        <v>1994</v>
      </c>
      <c r="U317" t="s">
        <v>1995</v>
      </c>
    </row>
    <row r="318" spans="1:21">
      <c r="A318" t="s">
        <v>3155</v>
      </c>
      <c r="B318" t="s">
        <v>3155</v>
      </c>
      <c r="C318" t="s">
        <v>1045</v>
      </c>
      <c r="D318" t="s">
        <v>3156</v>
      </c>
      <c r="E318" t="s">
        <v>1982</v>
      </c>
      <c r="F318" t="s">
        <v>204</v>
      </c>
      <c r="G318" t="s">
        <v>1991</v>
      </c>
      <c r="H318">
        <v>3778</v>
      </c>
      <c r="I318">
        <v>61</v>
      </c>
      <c r="J318">
        <v>1749</v>
      </c>
      <c r="K318">
        <v>4</v>
      </c>
      <c r="L318">
        <v>782601921</v>
      </c>
      <c r="M318">
        <v>1195150</v>
      </c>
      <c r="N318">
        <v>654.80999999999995</v>
      </c>
      <c r="O318">
        <v>49713</v>
      </c>
      <c r="P318">
        <v>743</v>
      </c>
      <c r="Q318">
        <v>340</v>
      </c>
      <c r="R318" t="s">
        <v>1992</v>
      </c>
      <c r="S318" t="s">
        <v>1993</v>
      </c>
      <c r="T318" t="s">
        <v>1994</v>
      </c>
      <c r="U318" t="s">
        <v>2001</v>
      </c>
    </row>
    <row r="319" spans="1:21">
      <c r="A319" t="s">
        <v>3027</v>
      </c>
      <c r="B319" t="s">
        <v>3027</v>
      </c>
      <c r="C319" t="s">
        <v>3028</v>
      </c>
      <c r="D319" t="s">
        <v>3029</v>
      </c>
      <c r="E319" t="s">
        <v>1982</v>
      </c>
      <c r="F319" t="s">
        <v>204</v>
      </c>
      <c r="G319" t="s">
        <v>1991</v>
      </c>
      <c r="H319">
        <v>5068</v>
      </c>
      <c r="I319">
        <v>101</v>
      </c>
      <c r="J319">
        <v>422</v>
      </c>
      <c r="K319">
        <v>1</v>
      </c>
      <c r="L319">
        <v>2426609691</v>
      </c>
      <c r="M319">
        <v>4569147</v>
      </c>
      <c r="N319">
        <v>531.09</v>
      </c>
      <c r="O319">
        <v>61017</v>
      </c>
      <c r="P319">
        <v>585</v>
      </c>
      <c r="Q319">
        <v>263</v>
      </c>
      <c r="R319" t="s">
        <v>1992</v>
      </c>
      <c r="S319" t="s">
        <v>1993</v>
      </c>
      <c r="T319" t="s">
        <v>1994</v>
      </c>
      <c r="U319" t="s">
        <v>2446</v>
      </c>
    </row>
    <row r="320" spans="1:21">
      <c r="A320" t="s">
        <v>3487</v>
      </c>
      <c r="B320" t="s">
        <v>3487</v>
      </c>
      <c r="C320" t="s">
        <v>3488</v>
      </c>
      <c r="D320" t="s">
        <v>3489</v>
      </c>
      <c r="E320" t="s">
        <v>1982</v>
      </c>
      <c r="F320" t="s">
        <v>204</v>
      </c>
      <c r="G320" t="s">
        <v>1991</v>
      </c>
      <c r="H320">
        <v>2500</v>
      </c>
      <c r="I320">
        <v>543</v>
      </c>
      <c r="J320">
        <v>2547</v>
      </c>
      <c r="K320">
        <v>2</v>
      </c>
      <c r="L320">
        <v>2510044738</v>
      </c>
      <c r="M320">
        <v>4229093</v>
      </c>
      <c r="N320">
        <v>593.52</v>
      </c>
      <c r="O320">
        <v>169001</v>
      </c>
      <c r="P320">
        <v>635</v>
      </c>
      <c r="Q320">
        <v>349</v>
      </c>
      <c r="R320" t="s">
        <v>1992</v>
      </c>
      <c r="S320" t="s">
        <v>1993</v>
      </c>
      <c r="T320" t="s">
        <v>1994</v>
      </c>
      <c r="U320" t="s">
        <v>3460</v>
      </c>
    </row>
    <row r="321" spans="1:21">
      <c r="A321" t="s">
        <v>2205</v>
      </c>
      <c r="B321" t="s">
        <v>2205</v>
      </c>
      <c r="C321" t="s">
        <v>2206</v>
      </c>
      <c r="D321" t="s">
        <v>2207</v>
      </c>
      <c r="E321" t="s">
        <v>1982</v>
      </c>
      <c r="F321" t="s">
        <v>204</v>
      </c>
      <c r="G321" t="s">
        <v>1991</v>
      </c>
      <c r="H321">
        <v>1624</v>
      </c>
      <c r="I321">
        <v>2512</v>
      </c>
      <c r="J321">
        <v>1455</v>
      </c>
      <c r="K321">
        <v>1</v>
      </c>
      <c r="L321">
        <v>2751513315</v>
      </c>
      <c r="M321">
        <v>3217695</v>
      </c>
      <c r="N321">
        <v>855.12</v>
      </c>
      <c r="O321">
        <v>56557</v>
      </c>
      <c r="P321">
        <v>1796</v>
      </c>
      <c r="Q321">
        <v>310</v>
      </c>
      <c r="R321" t="s">
        <v>1992</v>
      </c>
      <c r="S321" t="s">
        <v>1993</v>
      </c>
      <c r="T321" t="s">
        <v>1994</v>
      </c>
      <c r="U321" t="s">
        <v>1998</v>
      </c>
    </row>
    <row r="322" spans="1:21">
      <c r="A322" t="s">
        <v>2295</v>
      </c>
      <c r="B322" t="s">
        <v>2295</v>
      </c>
      <c r="C322" t="s">
        <v>2296</v>
      </c>
      <c r="D322" t="s">
        <v>2297</v>
      </c>
      <c r="E322" t="s">
        <v>1987</v>
      </c>
      <c r="F322" t="s">
        <v>204</v>
      </c>
      <c r="G322" t="s">
        <v>1991</v>
      </c>
      <c r="H322">
        <v>739</v>
      </c>
      <c r="I322">
        <v>4143</v>
      </c>
      <c r="J322">
        <v>703</v>
      </c>
      <c r="K322">
        <v>7</v>
      </c>
      <c r="L322">
        <v>1476983591</v>
      </c>
      <c r="M322">
        <v>1615798</v>
      </c>
      <c r="N322">
        <v>914.09</v>
      </c>
      <c r="O322">
        <v>236155</v>
      </c>
      <c r="P322">
        <v>2609</v>
      </c>
      <c r="Q322">
        <v>305</v>
      </c>
      <c r="R322" t="s">
        <v>1992</v>
      </c>
      <c r="S322" t="s">
        <v>1993</v>
      </c>
      <c r="T322" t="s">
        <v>1994</v>
      </c>
      <c r="U322" t="s">
        <v>2294</v>
      </c>
    </row>
    <row r="323" spans="1:21">
      <c r="A323" t="s">
        <v>2063</v>
      </c>
      <c r="B323" t="s">
        <v>2063</v>
      </c>
      <c r="C323" t="s">
        <v>2064</v>
      </c>
      <c r="D323" t="s">
        <v>2065</v>
      </c>
      <c r="E323" t="s">
        <v>1987</v>
      </c>
      <c r="F323" t="s">
        <v>204</v>
      </c>
      <c r="G323" t="s">
        <v>1991</v>
      </c>
      <c r="H323">
        <v>5336</v>
      </c>
      <c r="I323">
        <v>119</v>
      </c>
      <c r="J323">
        <v>127</v>
      </c>
      <c r="K323">
        <v>10</v>
      </c>
      <c r="L323">
        <v>820374932</v>
      </c>
      <c r="M323">
        <v>1176788</v>
      </c>
      <c r="N323">
        <v>697.13</v>
      </c>
      <c r="O323">
        <v>103518</v>
      </c>
      <c r="P323">
        <v>1418</v>
      </c>
      <c r="Q323">
        <v>267</v>
      </c>
      <c r="R323" t="s">
        <v>1992</v>
      </c>
      <c r="S323" t="s">
        <v>1993</v>
      </c>
      <c r="T323" t="s">
        <v>1994</v>
      </c>
      <c r="U323" t="s">
        <v>1998</v>
      </c>
    </row>
    <row r="324" spans="1:21">
      <c r="A324" t="s">
        <v>2181</v>
      </c>
      <c r="B324" t="s">
        <v>2181</v>
      </c>
      <c r="C324" t="s">
        <v>2182</v>
      </c>
      <c r="D324" t="s">
        <v>2183</v>
      </c>
      <c r="E324" t="s">
        <v>1982</v>
      </c>
      <c r="F324" t="s">
        <v>204</v>
      </c>
      <c r="G324" t="s">
        <v>1991</v>
      </c>
      <c r="H324">
        <v>4351</v>
      </c>
      <c r="I324">
        <v>416</v>
      </c>
      <c r="J324">
        <v>821</v>
      </c>
      <c r="K324">
        <v>4</v>
      </c>
      <c r="L324">
        <v>2300642213</v>
      </c>
      <c r="M324">
        <v>5190200</v>
      </c>
      <c r="N324">
        <v>443.27</v>
      </c>
      <c r="O324">
        <v>55719</v>
      </c>
      <c r="P324">
        <v>451</v>
      </c>
      <c r="Q324">
        <v>247</v>
      </c>
      <c r="R324" t="s">
        <v>1992</v>
      </c>
      <c r="S324" t="s">
        <v>1993</v>
      </c>
      <c r="T324" t="s">
        <v>1994</v>
      </c>
      <c r="U324" t="s">
        <v>1998</v>
      </c>
    </row>
    <row r="325" spans="1:21">
      <c r="A325" t="s">
        <v>2577</v>
      </c>
      <c r="B325" t="s">
        <v>2577</v>
      </c>
      <c r="C325" t="s">
        <v>2578</v>
      </c>
      <c r="D325" t="s">
        <v>2579</v>
      </c>
      <c r="E325" t="s">
        <v>1987</v>
      </c>
      <c r="F325" t="s">
        <v>204</v>
      </c>
      <c r="G325" t="s">
        <v>1991</v>
      </c>
      <c r="H325">
        <v>5395</v>
      </c>
      <c r="I325">
        <v>62</v>
      </c>
      <c r="J325">
        <v>126</v>
      </c>
      <c r="K325">
        <v>9</v>
      </c>
      <c r="L325">
        <v>525808781</v>
      </c>
      <c r="M325">
        <v>417376</v>
      </c>
      <c r="N325">
        <v>1259.8</v>
      </c>
      <c r="O325">
        <v>221245</v>
      </c>
      <c r="P325">
        <v>7685</v>
      </c>
      <c r="Q325">
        <v>389</v>
      </c>
      <c r="R325" t="s">
        <v>1992</v>
      </c>
      <c r="S325" t="s">
        <v>1993</v>
      </c>
      <c r="T325" t="s">
        <v>1994</v>
      </c>
      <c r="U325" t="s">
        <v>2284</v>
      </c>
    </row>
    <row r="326" spans="1:21">
      <c r="A326" t="s">
        <v>2508</v>
      </c>
      <c r="B326" t="s">
        <v>2508</v>
      </c>
      <c r="C326" t="s">
        <v>2509</v>
      </c>
      <c r="D326" t="s">
        <v>2510</v>
      </c>
      <c r="E326" t="s">
        <v>1982</v>
      </c>
      <c r="F326" t="s">
        <v>204</v>
      </c>
      <c r="G326" t="s">
        <v>1991</v>
      </c>
      <c r="H326">
        <v>4516</v>
      </c>
      <c r="I326">
        <v>348</v>
      </c>
      <c r="J326">
        <v>716</v>
      </c>
      <c r="K326">
        <v>12</v>
      </c>
      <c r="L326">
        <v>1430107884</v>
      </c>
      <c r="M326">
        <v>2162018</v>
      </c>
      <c r="N326">
        <v>661.47</v>
      </c>
      <c r="O326">
        <v>168248</v>
      </c>
      <c r="P326">
        <v>969</v>
      </c>
      <c r="Q326">
        <v>283</v>
      </c>
      <c r="R326" t="s">
        <v>1992</v>
      </c>
      <c r="S326" t="s">
        <v>1993</v>
      </c>
      <c r="T326" t="s">
        <v>1994</v>
      </c>
      <c r="U326" t="s">
        <v>1995</v>
      </c>
    </row>
    <row r="327" spans="1:21">
      <c r="A327" t="s">
        <v>2681</v>
      </c>
      <c r="B327" t="s">
        <v>2681</v>
      </c>
      <c r="C327" t="s">
        <v>2682</v>
      </c>
      <c r="D327" t="s">
        <v>2683</v>
      </c>
      <c r="E327" t="s">
        <v>1987</v>
      </c>
      <c r="F327" t="s">
        <v>204</v>
      </c>
      <c r="G327" t="s">
        <v>1991</v>
      </c>
      <c r="H327">
        <v>5298</v>
      </c>
      <c r="I327">
        <v>108</v>
      </c>
      <c r="J327">
        <v>184</v>
      </c>
      <c r="K327">
        <v>2</v>
      </c>
      <c r="L327">
        <v>935507239</v>
      </c>
      <c r="M327">
        <v>663824</v>
      </c>
      <c r="N327">
        <v>1409.27</v>
      </c>
      <c r="O327">
        <v>104946</v>
      </c>
      <c r="P327">
        <v>7648</v>
      </c>
      <c r="Q327">
        <v>374</v>
      </c>
      <c r="R327" t="s">
        <v>1992</v>
      </c>
      <c r="S327" t="s">
        <v>1993</v>
      </c>
      <c r="T327" t="s">
        <v>1994</v>
      </c>
      <c r="U327" t="s">
        <v>2289</v>
      </c>
    </row>
    <row r="328" spans="1:21">
      <c r="A328" t="s">
        <v>2884</v>
      </c>
      <c r="B328" t="s">
        <v>2884</v>
      </c>
      <c r="C328" t="s">
        <v>2885</v>
      </c>
      <c r="D328" t="s">
        <v>2886</v>
      </c>
      <c r="E328" t="s">
        <v>1987</v>
      </c>
      <c r="F328" t="s">
        <v>204</v>
      </c>
      <c r="G328" t="s">
        <v>1991</v>
      </c>
      <c r="H328">
        <v>2738</v>
      </c>
      <c r="I328">
        <v>1644</v>
      </c>
      <c r="J328">
        <v>1209</v>
      </c>
      <c r="K328">
        <v>1</v>
      </c>
      <c r="L328">
        <v>1268607165</v>
      </c>
      <c r="M328">
        <v>1502195</v>
      </c>
      <c r="N328">
        <v>844.5</v>
      </c>
      <c r="O328">
        <v>430373</v>
      </c>
      <c r="P328">
        <v>1568</v>
      </c>
      <c r="Q328">
        <v>321</v>
      </c>
      <c r="R328" t="s">
        <v>1992</v>
      </c>
      <c r="S328" t="s">
        <v>1993</v>
      </c>
      <c r="T328" t="s">
        <v>1994</v>
      </c>
      <c r="U328" t="s">
        <v>2284</v>
      </c>
    </row>
    <row r="329" spans="1:21">
      <c r="A329" t="s">
        <v>3047</v>
      </c>
      <c r="B329" t="s">
        <v>3047</v>
      </c>
      <c r="C329" t="s">
        <v>3048</v>
      </c>
      <c r="D329" t="s">
        <v>3049</v>
      </c>
      <c r="E329" t="s">
        <v>31</v>
      </c>
      <c r="F329" t="s">
        <v>204</v>
      </c>
      <c r="G329" t="s">
        <v>1991</v>
      </c>
      <c r="H329">
        <v>5236</v>
      </c>
      <c r="I329">
        <v>72</v>
      </c>
      <c r="J329">
        <v>278</v>
      </c>
      <c r="K329">
        <v>6</v>
      </c>
      <c r="L329">
        <v>2138781828</v>
      </c>
      <c r="M329">
        <v>1906454</v>
      </c>
      <c r="N329">
        <v>1121.8599999999999</v>
      </c>
      <c r="O329">
        <v>154483</v>
      </c>
      <c r="P329">
        <v>3784</v>
      </c>
      <c r="Q329">
        <v>345</v>
      </c>
      <c r="R329" t="s">
        <v>1992</v>
      </c>
      <c r="S329" t="s">
        <v>1993</v>
      </c>
      <c r="T329" t="s">
        <v>1994</v>
      </c>
      <c r="U329" t="s">
        <v>3046</v>
      </c>
    </row>
    <row r="330" spans="1:21">
      <c r="A330" t="s">
        <v>3101</v>
      </c>
      <c r="B330" t="s">
        <v>3101</v>
      </c>
      <c r="C330" t="s">
        <v>3102</v>
      </c>
      <c r="D330" t="s">
        <v>3103</v>
      </c>
      <c r="E330" t="s">
        <v>31</v>
      </c>
      <c r="F330" t="s">
        <v>204</v>
      </c>
      <c r="G330" t="s">
        <v>1991</v>
      </c>
      <c r="H330">
        <v>5293</v>
      </c>
      <c r="I330">
        <v>100</v>
      </c>
      <c r="J330">
        <v>196</v>
      </c>
      <c r="K330">
        <v>3</v>
      </c>
      <c r="L330">
        <v>1197451885</v>
      </c>
      <c r="M330">
        <v>1417637</v>
      </c>
      <c r="N330">
        <v>844.68</v>
      </c>
      <c r="O330">
        <v>96416</v>
      </c>
      <c r="P330">
        <v>2884</v>
      </c>
      <c r="Q330">
        <v>283</v>
      </c>
      <c r="R330" t="s">
        <v>1992</v>
      </c>
      <c r="S330" t="s">
        <v>1993</v>
      </c>
      <c r="T330" t="s">
        <v>1994</v>
      </c>
      <c r="U330" t="s">
        <v>2446</v>
      </c>
    </row>
    <row r="331" spans="1:21">
      <c r="A331" t="s">
        <v>3091</v>
      </c>
      <c r="B331" t="s">
        <v>3091</v>
      </c>
      <c r="C331" t="s">
        <v>3092</v>
      </c>
      <c r="D331" t="s">
        <v>3093</v>
      </c>
      <c r="E331" t="s">
        <v>31</v>
      </c>
      <c r="F331" t="s">
        <v>204</v>
      </c>
      <c r="G331" t="s">
        <v>1991</v>
      </c>
      <c r="H331">
        <v>4580</v>
      </c>
      <c r="I331">
        <v>143</v>
      </c>
      <c r="J331">
        <v>869</v>
      </c>
      <c r="K331">
        <v>0</v>
      </c>
      <c r="L331">
        <v>2162930669</v>
      </c>
      <c r="M331">
        <v>3028299</v>
      </c>
      <c r="N331">
        <v>714.24</v>
      </c>
      <c r="O331">
        <v>83524</v>
      </c>
      <c r="P331">
        <v>945</v>
      </c>
      <c r="Q331">
        <v>325</v>
      </c>
      <c r="R331" t="s">
        <v>1992</v>
      </c>
      <c r="S331" t="s">
        <v>1993</v>
      </c>
      <c r="T331" t="s">
        <v>1994</v>
      </c>
      <c r="U331" t="s">
        <v>2446</v>
      </c>
    </row>
    <row r="332" spans="1:21">
      <c r="A332" t="s">
        <v>3070</v>
      </c>
      <c r="B332" t="s">
        <v>3070</v>
      </c>
      <c r="C332" t="s">
        <v>3071</v>
      </c>
      <c r="D332" t="s">
        <v>3072</v>
      </c>
      <c r="E332" t="s">
        <v>1987</v>
      </c>
      <c r="F332" t="s">
        <v>204</v>
      </c>
      <c r="G332" t="s">
        <v>1991</v>
      </c>
      <c r="H332">
        <v>3462</v>
      </c>
      <c r="I332">
        <v>357</v>
      </c>
      <c r="J332">
        <v>1758</v>
      </c>
      <c r="K332">
        <v>15</v>
      </c>
      <c r="L332">
        <v>1604859158</v>
      </c>
      <c r="M332">
        <v>2267519</v>
      </c>
      <c r="N332">
        <v>707.76</v>
      </c>
      <c r="O332">
        <v>542016</v>
      </c>
      <c r="P332">
        <v>964</v>
      </c>
      <c r="Q332">
        <v>315</v>
      </c>
      <c r="R332" t="s">
        <v>1992</v>
      </c>
      <c r="S332" t="s">
        <v>1993</v>
      </c>
      <c r="T332" t="s">
        <v>1994</v>
      </c>
      <c r="U332" t="s">
        <v>3015</v>
      </c>
    </row>
    <row r="333" spans="1:21">
      <c r="A333" t="s">
        <v>3076</v>
      </c>
      <c r="B333" t="s">
        <v>3076</v>
      </c>
      <c r="C333" t="s">
        <v>3077</v>
      </c>
      <c r="D333" t="s">
        <v>3078</v>
      </c>
      <c r="E333" t="s">
        <v>1982</v>
      </c>
      <c r="F333" t="s">
        <v>204</v>
      </c>
      <c r="G333" t="s">
        <v>1991</v>
      </c>
      <c r="H333">
        <v>4645</v>
      </c>
      <c r="I333">
        <v>331</v>
      </c>
      <c r="J333">
        <v>607</v>
      </c>
      <c r="K333">
        <v>9</v>
      </c>
      <c r="L333">
        <v>1412073509</v>
      </c>
      <c r="M333">
        <v>2350908</v>
      </c>
      <c r="N333">
        <v>600.65</v>
      </c>
      <c r="O333">
        <v>71529</v>
      </c>
      <c r="P333">
        <v>985</v>
      </c>
      <c r="Q333">
        <v>246</v>
      </c>
      <c r="R333" t="s">
        <v>1992</v>
      </c>
      <c r="S333" t="s">
        <v>1993</v>
      </c>
      <c r="T333" t="s">
        <v>1994</v>
      </c>
      <c r="U333" t="s">
        <v>3015</v>
      </c>
    </row>
    <row r="334" spans="1:21">
      <c r="A334" t="s">
        <v>3392</v>
      </c>
      <c r="B334" t="s">
        <v>3392</v>
      </c>
      <c r="C334" t="s">
        <v>3393</v>
      </c>
      <c r="D334" t="s">
        <v>3394</v>
      </c>
      <c r="E334" t="s">
        <v>1987</v>
      </c>
      <c r="F334" t="s">
        <v>204</v>
      </c>
      <c r="G334" t="s">
        <v>1991</v>
      </c>
      <c r="H334">
        <v>5459</v>
      </c>
      <c r="I334">
        <v>14</v>
      </c>
      <c r="J334">
        <v>118</v>
      </c>
      <c r="K334">
        <v>1</v>
      </c>
      <c r="L334">
        <v>734417858</v>
      </c>
      <c r="M334">
        <v>906585</v>
      </c>
      <c r="N334">
        <v>810.09</v>
      </c>
      <c r="O334">
        <v>141740</v>
      </c>
      <c r="P334">
        <v>3109</v>
      </c>
      <c r="Q334">
        <v>274</v>
      </c>
      <c r="R334" t="s">
        <v>1992</v>
      </c>
      <c r="S334" t="s">
        <v>1993</v>
      </c>
      <c r="T334" t="s">
        <v>1994</v>
      </c>
      <c r="U334" t="s">
        <v>2011</v>
      </c>
    </row>
    <row r="335" spans="1:21">
      <c r="A335" t="s">
        <v>3149</v>
      </c>
      <c r="B335" t="s">
        <v>3149</v>
      </c>
      <c r="C335" t="s">
        <v>3150</v>
      </c>
      <c r="D335" t="s">
        <v>3151</v>
      </c>
      <c r="E335" t="s">
        <v>1982</v>
      </c>
      <c r="F335" t="s">
        <v>204</v>
      </c>
      <c r="G335" t="s">
        <v>1991</v>
      </c>
      <c r="H335">
        <v>5230</v>
      </c>
      <c r="I335">
        <v>137</v>
      </c>
      <c r="J335">
        <v>225</v>
      </c>
      <c r="K335">
        <v>0</v>
      </c>
      <c r="L335">
        <v>1559286885</v>
      </c>
      <c r="M335">
        <v>2548569</v>
      </c>
      <c r="N335">
        <v>611.83000000000004</v>
      </c>
      <c r="O335">
        <v>78774</v>
      </c>
      <c r="P335">
        <v>1003</v>
      </c>
      <c r="Q335">
        <v>248</v>
      </c>
      <c r="R335" t="s">
        <v>1992</v>
      </c>
      <c r="S335" t="s">
        <v>1993</v>
      </c>
      <c r="T335" t="s">
        <v>1994</v>
      </c>
      <c r="U335" t="s">
        <v>2001</v>
      </c>
    </row>
    <row r="336" spans="1:21">
      <c r="A336" t="s">
        <v>1999</v>
      </c>
      <c r="B336" t="s">
        <v>1999</v>
      </c>
      <c r="C336" t="s">
        <v>2000</v>
      </c>
      <c r="D336" t="s">
        <v>31</v>
      </c>
      <c r="E336" t="s">
        <v>1982</v>
      </c>
      <c r="F336" t="s">
        <v>204</v>
      </c>
      <c r="G336" t="s">
        <v>1991</v>
      </c>
      <c r="H336">
        <v>4321</v>
      </c>
      <c r="I336">
        <v>415</v>
      </c>
      <c r="J336">
        <v>856</v>
      </c>
      <c r="K336">
        <v>0</v>
      </c>
      <c r="L336">
        <v>1895294957</v>
      </c>
      <c r="M336">
        <v>3185756</v>
      </c>
      <c r="N336">
        <v>594.92999999999995</v>
      </c>
      <c r="O336">
        <v>46222</v>
      </c>
      <c r="P336">
        <v>744</v>
      </c>
      <c r="Q336">
        <v>282</v>
      </c>
      <c r="R336" t="s">
        <v>1992</v>
      </c>
      <c r="S336" t="s">
        <v>1993</v>
      </c>
      <c r="T336" t="s">
        <v>1994</v>
      </c>
      <c r="U336" t="s">
        <v>2001</v>
      </c>
    </row>
    <row r="337" spans="1:21">
      <c r="A337" t="s">
        <v>3161</v>
      </c>
      <c r="B337" t="s">
        <v>3161</v>
      </c>
      <c r="C337" t="s">
        <v>3162</v>
      </c>
      <c r="D337" t="s">
        <v>3163</v>
      </c>
      <c r="E337" t="s">
        <v>1982</v>
      </c>
      <c r="F337" t="s">
        <v>204</v>
      </c>
      <c r="G337" t="s">
        <v>1991</v>
      </c>
      <c r="H337">
        <v>2971</v>
      </c>
      <c r="I337">
        <v>1106</v>
      </c>
      <c r="J337">
        <v>1515</v>
      </c>
      <c r="K337">
        <v>0</v>
      </c>
      <c r="L337">
        <v>2044623906</v>
      </c>
      <c r="M337">
        <v>2621679</v>
      </c>
      <c r="N337">
        <v>779.89</v>
      </c>
      <c r="O337">
        <v>39817</v>
      </c>
      <c r="P337">
        <v>1025</v>
      </c>
      <c r="Q337">
        <v>366</v>
      </c>
      <c r="R337" t="s">
        <v>1992</v>
      </c>
      <c r="S337" t="s">
        <v>1993</v>
      </c>
      <c r="T337" t="s">
        <v>1994</v>
      </c>
      <c r="U337" t="s">
        <v>2001</v>
      </c>
    </row>
    <row r="338" spans="1:21">
      <c r="A338" t="s">
        <v>3171</v>
      </c>
      <c r="B338" t="s">
        <v>3171</v>
      </c>
      <c r="C338" t="s">
        <v>3172</v>
      </c>
      <c r="D338" t="s">
        <v>3173</v>
      </c>
      <c r="E338" t="s">
        <v>1982</v>
      </c>
      <c r="F338" t="s">
        <v>204</v>
      </c>
      <c r="G338" t="s">
        <v>1991</v>
      </c>
      <c r="H338">
        <v>5152</v>
      </c>
      <c r="I338">
        <v>105</v>
      </c>
      <c r="J338">
        <v>334</v>
      </c>
      <c r="K338">
        <v>1</v>
      </c>
      <c r="L338">
        <v>1363211205</v>
      </c>
      <c r="M338">
        <v>1987786</v>
      </c>
      <c r="N338">
        <v>685.79</v>
      </c>
      <c r="O338">
        <v>59844</v>
      </c>
      <c r="P338">
        <v>1021</v>
      </c>
      <c r="Q338">
        <v>283</v>
      </c>
      <c r="R338" t="s">
        <v>1992</v>
      </c>
      <c r="S338" t="s">
        <v>1993</v>
      </c>
      <c r="T338" t="s">
        <v>1994</v>
      </c>
      <c r="U338" t="s">
        <v>2001</v>
      </c>
    </row>
    <row r="339" spans="1:21">
      <c r="A339" t="s">
        <v>3272</v>
      </c>
      <c r="B339" t="s">
        <v>3272</v>
      </c>
      <c r="C339" t="s">
        <v>3273</v>
      </c>
      <c r="D339" t="s">
        <v>3274</v>
      </c>
      <c r="E339" t="s">
        <v>1982</v>
      </c>
      <c r="F339" t="s">
        <v>204</v>
      </c>
      <c r="G339" t="s">
        <v>1991</v>
      </c>
      <c r="H339">
        <v>5229</v>
      </c>
      <c r="I339">
        <v>144</v>
      </c>
      <c r="J339">
        <v>213</v>
      </c>
      <c r="K339">
        <v>6</v>
      </c>
      <c r="L339">
        <v>1656195443</v>
      </c>
      <c r="M339">
        <v>3568863</v>
      </c>
      <c r="N339">
        <v>464.07</v>
      </c>
      <c r="O339">
        <v>61859</v>
      </c>
      <c r="P339">
        <v>440</v>
      </c>
      <c r="Q339">
        <v>228</v>
      </c>
      <c r="R339" t="s">
        <v>1992</v>
      </c>
      <c r="S339" t="s">
        <v>1993</v>
      </c>
      <c r="T339" t="s">
        <v>1994</v>
      </c>
      <c r="U339" t="s">
        <v>1998</v>
      </c>
    </row>
    <row r="340" spans="1:21">
      <c r="A340" t="s">
        <v>3506</v>
      </c>
      <c r="B340" t="s">
        <v>3506</v>
      </c>
      <c r="C340" t="s">
        <v>3507</v>
      </c>
      <c r="D340" t="s">
        <v>3508</v>
      </c>
      <c r="E340" t="s">
        <v>1982</v>
      </c>
      <c r="F340" t="s">
        <v>204</v>
      </c>
      <c r="G340" t="s">
        <v>1991</v>
      </c>
      <c r="H340">
        <v>4988</v>
      </c>
      <c r="I340">
        <v>203</v>
      </c>
      <c r="J340">
        <v>395</v>
      </c>
      <c r="K340">
        <v>6</v>
      </c>
      <c r="L340">
        <v>2317359011</v>
      </c>
      <c r="M340">
        <v>3271361</v>
      </c>
      <c r="N340">
        <v>708.38</v>
      </c>
      <c r="O340">
        <v>305529</v>
      </c>
      <c r="P340">
        <v>1034</v>
      </c>
      <c r="Q340">
        <v>295</v>
      </c>
      <c r="R340" t="s">
        <v>1992</v>
      </c>
      <c r="S340" t="s">
        <v>1993</v>
      </c>
      <c r="T340" t="s">
        <v>1994</v>
      </c>
      <c r="U340" t="s">
        <v>3015</v>
      </c>
    </row>
    <row r="341" spans="1:21">
      <c r="A341" t="s">
        <v>2184</v>
      </c>
      <c r="B341" t="s">
        <v>2184</v>
      </c>
      <c r="C341" t="s">
        <v>2185</v>
      </c>
      <c r="D341" t="s">
        <v>2186</v>
      </c>
      <c r="E341" t="s">
        <v>1982</v>
      </c>
      <c r="F341" t="s">
        <v>204</v>
      </c>
      <c r="G341" t="s">
        <v>1991</v>
      </c>
      <c r="H341">
        <v>2922</v>
      </c>
      <c r="I341">
        <v>1470</v>
      </c>
      <c r="J341">
        <v>1197</v>
      </c>
      <c r="K341">
        <v>3</v>
      </c>
      <c r="L341">
        <v>1444802791</v>
      </c>
      <c r="M341">
        <v>2056970</v>
      </c>
      <c r="N341">
        <v>702.39</v>
      </c>
      <c r="O341">
        <v>73381</v>
      </c>
      <c r="P341">
        <v>1443</v>
      </c>
      <c r="Q341">
        <v>274</v>
      </c>
      <c r="R341" t="s">
        <v>1992</v>
      </c>
      <c r="S341" t="s">
        <v>1993</v>
      </c>
      <c r="T341" t="s">
        <v>1994</v>
      </c>
      <c r="U341" t="s">
        <v>1998</v>
      </c>
    </row>
    <row r="342" spans="1:21">
      <c r="A342" t="s">
        <v>2178</v>
      </c>
      <c r="B342" t="s">
        <v>2178</v>
      </c>
      <c r="C342" t="s">
        <v>2179</v>
      </c>
      <c r="D342" t="s">
        <v>2180</v>
      </c>
      <c r="E342" t="s">
        <v>1982</v>
      </c>
      <c r="F342" t="s">
        <v>204</v>
      </c>
      <c r="G342" t="s">
        <v>1991</v>
      </c>
      <c r="H342">
        <v>3126</v>
      </c>
      <c r="I342">
        <v>1137</v>
      </c>
      <c r="J342">
        <v>1326</v>
      </c>
      <c r="K342">
        <v>3</v>
      </c>
      <c r="L342">
        <v>1439584709</v>
      </c>
      <c r="M342">
        <v>2488314</v>
      </c>
      <c r="N342">
        <v>578.54</v>
      </c>
      <c r="O342">
        <v>123298</v>
      </c>
      <c r="P342">
        <v>832</v>
      </c>
      <c r="Q342">
        <v>253</v>
      </c>
      <c r="R342" t="s">
        <v>1992</v>
      </c>
      <c r="S342" t="s">
        <v>1993</v>
      </c>
      <c r="T342" t="s">
        <v>1994</v>
      </c>
      <c r="U342" t="s">
        <v>1998</v>
      </c>
    </row>
    <row r="343" spans="1:21">
      <c r="A343" t="s">
        <v>2193</v>
      </c>
      <c r="B343" t="s">
        <v>2193</v>
      </c>
      <c r="C343" t="s">
        <v>2194</v>
      </c>
      <c r="D343" t="s">
        <v>2195</v>
      </c>
      <c r="E343" t="s">
        <v>1982</v>
      </c>
      <c r="F343" t="s">
        <v>204</v>
      </c>
      <c r="G343" t="s">
        <v>1991</v>
      </c>
      <c r="H343">
        <v>5161</v>
      </c>
      <c r="I343">
        <v>193</v>
      </c>
      <c r="J343">
        <v>234</v>
      </c>
      <c r="K343">
        <v>4</v>
      </c>
      <c r="L343">
        <v>1947410947</v>
      </c>
      <c r="M343">
        <v>4384521</v>
      </c>
      <c r="N343">
        <v>444.16</v>
      </c>
      <c r="O343">
        <v>61250</v>
      </c>
      <c r="P343">
        <v>406</v>
      </c>
      <c r="Q343">
        <v>226</v>
      </c>
      <c r="R343" t="s">
        <v>1992</v>
      </c>
      <c r="S343" t="s">
        <v>1993</v>
      </c>
      <c r="T343" t="s">
        <v>1994</v>
      </c>
      <c r="U343" t="s">
        <v>1998</v>
      </c>
    </row>
    <row r="344" spans="1:21">
      <c r="A344" t="s">
        <v>2095</v>
      </c>
      <c r="B344" t="s">
        <v>2095</v>
      </c>
      <c r="C344" t="s">
        <v>2096</v>
      </c>
      <c r="D344" t="s">
        <v>2097</v>
      </c>
      <c r="E344" t="s">
        <v>1982</v>
      </c>
      <c r="F344" t="s">
        <v>204</v>
      </c>
      <c r="G344" t="s">
        <v>1991</v>
      </c>
      <c r="H344">
        <v>1963</v>
      </c>
      <c r="I344">
        <v>2276</v>
      </c>
      <c r="J344">
        <v>1351</v>
      </c>
      <c r="K344">
        <v>2</v>
      </c>
      <c r="L344">
        <v>2409925075</v>
      </c>
      <c r="M344">
        <v>3027777</v>
      </c>
      <c r="N344">
        <v>795.94</v>
      </c>
      <c r="O344">
        <v>79542</v>
      </c>
      <c r="P344">
        <v>1572</v>
      </c>
      <c r="Q344">
        <v>290</v>
      </c>
      <c r="R344" t="s">
        <v>1992</v>
      </c>
      <c r="S344" t="s">
        <v>1993</v>
      </c>
      <c r="T344" t="s">
        <v>1994</v>
      </c>
      <c r="U344" t="s">
        <v>1998</v>
      </c>
    </row>
    <row r="345" spans="1:21">
      <c r="A345" t="s">
        <v>2050</v>
      </c>
      <c r="B345" t="s">
        <v>2050</v>
      </c>
      <c r="C345" t="s">
        <v>2051</v>
      </c>
      <c r="D345" t="s">
        <v>2052</v>
      </c>
      <c r="E345" t="s">
        <v>1982</v>
      </c>
      <c r="F345" t="s">
        <v>204</v>
      </c>
      <c r="G345" t="s">
        <v>1991</v>
      </c>
      <c r="H345">
        <v>5055</v>
      </c>
      <c r="I345">
        <v>252</v>
      </c>
      <c r="J345">
        <v>281</v>
      </c>
      <c r="K345">
        <v>4</v>
      </c>
      <c r="L345">
        <v>1367314349</v>
      </c>
      <c r="M345">
        <v>2284222</v>
      </c>
      <c r="N345">
        <v>598.59</v>
      </c>
      <c r="O345">
        <v>62421</v>
      </c>
      <c r="P345">
        <v>992</v>
      </c>
      <c r="Q345">
        <v>242</v>
      </c>
      <c r="R345" t="s">
        <v>1992</v>
      </c>
      <c r="S345" t="s">
        <v>1993</v>
      </c>
      <c r="T345" t="s">
        <v>1994</v>
      </c>
      <c r="U345" t="s">
        <v>1998</v>
      </c>
    </row>
    <row r="346" spans="1:21">
      <c r="A346" t="s">
        <v>2149</v>
      </c>
      <c r="B346" t="s">
        <v>2149</v>
      </c>
      <c r="C346" t="s">
        <v>2150</v>
      </c>
      <c r="D346" t="s">
        <v>2151</v>
      </c>
      <c r="E346" t="s">
        <v>31</v>
      </c>
      <c r="F346" t="s">
        <v>204</v>
      </c>
      <c r="G346" t="s">
        <v>1991</v>
      </c>
      <c r="H346">
        <v>5252</v>
      </c>
      <c r="I346">
        <v>142</v>
      </c>
      <c r="J346">
        <v>194</v>
      </c>
      <c r="K346">
        <v>4</v>
      </c>
      <c r="L346">
        <v>973263751</v>
      </c>
      <c r="M346">
        <v>1286037</v>
      </c>
      <c r="N346">
        <v>756.79</v>
      </c>
      <c r="O346">
        <v>90653</v>
      </c>
      <c r="P346">
        <v>2314</v>
      </c>
      <c r="Q346">
        <v>268</v>
      </c>
      <c r="R346" t="s">
        <v>1992</v>
      </c>
      <c r="S346" t="s">
        <v>1993</v>
      </c>
      <c r="T346" t="s">
        <v>1994</v>
      </c>
      <c r="U346" t="s">
        <v>1998</v>
      </c>
    </row>
    <row r="347" spans="1:21">
      <c r="A347" t="s">
        <v>2056</v>
      </c>
      <c r="B347" t="s">
        <v>2056</v>
      </c>
      <c r="C347" t="s">
        <v>2057</v>
      </c>
      <c r="D347" t="s">
        <v>2058</v>
      </c>
      <c r="E347" t="s">
        <v>1982</v>
      </c>
      <c r="F347" t="s">
        <v>204</v>
      </c>
      <c r="G347" t="s">
        <v>1991</v>
      </c>
      <c r="H347">
        <v>4816</v>
      </c>
      <c r="I347">
        <v>319</v>
      </c>
      <c r="J347">
        <v>449</v>
      </c>
      <c r="K347">
        <v>8</v>
      </c>
      <c r="L347">
        <v>1015000433</v>
      </c>
      <c r="M347">
        <v>1653012</v>
      </c>
      <c r="N347">
        <v>614.03</v>
      </c>
      <c r="O347">
        <v>78879</v>
      </c>
      <c r="P347">
        <v>1218</v>
      </c>
      <c r="Q347">
        <v>242</v>
      </c>
      <c r="R347" t="s">
        <v>1992</v>
      </c>
      <c r="S347" t="s">
        <v>1993</v>
      </c>
      <c r="T347" t="s">
        <v>1994</v>
      </c>
      <c r="U347" t="s">
        <v>1998</v>
      </c>
    </row>
    <row r="348" spans="1:21">
      <c r="A348" t="s">
        <v>2229</v>
      </c>
      <c r="B348" t="s">
        <v>2229</v>
      </c>
      <c r="C348" t="s">
        <v>2230</v>
      </c>
      <c r="D348" t="s">
        <v>2231</v>
      </c>
      <c r="E348" t="s">
        <v>1982</v>
      </c>
      <c r="F348" t="s">
        <v>204</v>
      </c>
      <c r="G348" t="s">
        <v>1991</v>
      </c>
      <c r="H348">
        <v>1711</v>
      </c>
      <c r="I348">
        <v>2650</v>
      </c>
      <c r="J348">
        <v>1230</v>
      </c>
      <c r="K348">
        <v>1</v>
      </c>
      <c r="L348">
        <v>3627740387</v>
      </c>
      <c r="M348">
        <v>6092475</v>
      </c>
      <c r="N348">
        <v>595.45000000000005</v>
      </c>
      <c r="O348">
        <v>67202</v>
      </c>
      <c r="P348">
        <v>839</v>
      </c>
      <c r="Q348">
        <v>253</v>
      </c>
      <c r="R348" t="s">
        <v>1992</v>
      </c>
      <c r="S348" t="s">
        <v>1993</v>
      </c>
      <c r="T348" t="s">
        <v>1994</v>
      </c>
      <c r="U348" t="s">
        <v>1998</v>
      </c>
    </row>
    <row r="349" spans="1:21">
      <c r="A349" t="s">
        <v>2208</v>
      </c>
      <c r="B349" t="s">
        <v>2208</v>
      </c>
      <c r="C349" t="s">
        <v>2209</v>
      </c>
      <c r="D349" t="s">
        <v>2210</v>
      </c>
      <c r="E349" t="s">
        <v>1982</v>
      </c>
      <c r="F349" t="s">
        <v>204</v>
      </c>
      <c r="G349" t="s">
        <v>1991</v>
      </c>
      <c r="H349">
        <v>2427</v>
      </c>
      <c r="I349">
        <v>1606</v>
      </c>
      <c r="J349">
        <v>1558</v>
      </c>
      <c r="K349">
        <v>1</v>
      </c>
      <c r="L349">
        <v>4003105087</v>
      </c>
      <c r="M349">
        <v>8467003</v>
      </c>
      <c r="N349">
        <v>472.79</v>
      </c>
      <c r="O349">
        <v>130018</v>
      </c>
      <c r="P349">
        <v>481</v>
      </c>
      <c r="Q349">
        <v>237</v>
      </c>
      <c r="R349" t="s">
        <v>1992</v>
      </c>
      <c r="S349" t="s">
        <v>1993</v>
      </c>
      <c r="T349" t="s">
        <v>1994</v>
      </c>
      <c r="U349" t="s">
        <v>1998</v>
      </c>
    </row>
    <row r="350" spans="1:21">
      <c r="A350" t="s">
        <v>2053</v>
      </c>
      <c r="B350" t="s">
        <v>2053</v>
      </c>
      <c r="C350" t="s">
        <v>2054</v>
      </c>
      <c r="D350" t="s">
        <v>2055</v>
      </c>
      <c r="E350" t="s">
        <v>1982</v>
      </c>
      <c r="F350" t="s">
        <v>204</v>
      </c>
      <c r="G350" t="s">
        <v>1991</v>
      </c>
      <c r="H350">
        <v>1534</v>
      </c>
      <c r="I350">
        <v>1498</v>
      </c>
      <c r="J350">
        <v>2559</v>
      </c>
      <c r="K350">
        <v>1</v>
      </c>
      <c r="L350">
        <v>4065276436</v>
      </c>
      <c r="M350">
        <v>6780531</v>
      </c>
      <c r="N350">
        <v>599.54999999999995</v>
      </c>
      <c r="O350">
        <v>53742</v>
      </c>
      <c r="P350">
        <v>783</v>
      </c>
      <c r="Q350">
        <v>283</v>
      </c>
      <c r="R350" t="s">
        <v>1992</v>
      </c>
      <c r="S350" t="s">
        <v>1993</v>
      </c>
      <c r="T350" t="s">
        <v>1994</v>
      </c>
      <c r="U350" t="s">
        <v>1998</v>
      </c>
    </row>
    <row r="351" spans="1:21">
      <c r="A351" t="s">
        <v>2199</v>
      </c>
      <c r="B351" t="s">
        <v>2199</v>
      </c>
      <c r="C351" t="s">
        <v>2200</v>
      </c>
      <c r="D351" t="s">
        <v>2201</v>
      </c>
      <c r="E351" t="s">
        <v>1982</v>
      </c>
      <c r="F351" t="s">
        <v>204</v>
      </c>
      <c r="G351" t="s">
        <v>1991</v>
      </c>
      <c r="H351">
        <v>4853</v>
      </c>
      <c r="I351">
        <v>371</v>
      </c>
      <c r="J351">
        <v>364</v>
      </c>
      <c r="K351">
        <v>4</v>
      </c>
      <c r="L351">
        <v>1394800487</v>
      </c>
      <c r="M351">
        <v>2389422</v>
      </c>
      <c r="N351">
        <v>583.74</v>
      </c>
      <c r="O351">
        <v>186865</v>
      </c>
      <c r="P351">
        <v>820</v>
      </c>
      <c r="Q351">
        <v>244</v>
      </c>
      <c r="R351" t="s">
        <v>1992</v>
      </c>
      <c r="S351" t="s">
        <v>1993</v>
      </c>
      <c r="T351" t="s">
        <v>1994</v>
      </c>
      <c r="U351" t="s">
        <v>1998</v>
      </c>
    </row>
    <row r="352" spans="1:21">
      <c r="A352" t="s">
        <v>2921</v>
      </c>
      <c r="B352" t="s">
        <v>2921</v>
      </c>
      <c r="C352" t="s">
        <v>2922</v>
      </c>
      <c r="D352" t="s">
        <v>2923</v>
      </c>
      <c r="E352" t="s">
        <v>1987</v>
      </c>
      <c r="F352" t="s">
        <v>204</v>
      </c>
      <c r="G352" t="s">
        <v>1991</v>
      </c>
      <c r="H352">
        <v>3679</v>
      </c>
      <c r="I352">
        <v>1000</v>
      </c>
      <c r="J352">
        <v>907</v>
      </c>
      <c r="K352">
        <v>6</v>
      </c>
      <c r="L352">
        <v>1102985627</v>
      </c>
      <c r="M352">
        <v>1896056</v>
      </c>
      <c r="N352">
        <v>581.73</v>
      </c>
      <c r="O352">
        <v>96593</v>
      </c>
      <c r="P352">
        <v>1022</v>
      </c>
      <c r="Q352">
        <v>239</v>
      </c>
      <c r="R352" t="s">
        <v>1992</v>
      </c>
      <c r="S352" t="s">
        <v>1993</v>
      </c>
      <c r="T352" t="s">
        <v>1994</v>
      </c>
      <c r="U352" t="s">
        <v>2284</v>
      </c>
    </row>
    <row r="353" spans="1:21">
      <c r="A353" t="s">
        <v>2092</v>
      </c>
      <c r="B353" t="s">
        <v>2092</v>
      </c>
      <c r="C353" t="s">
        <v>2093</v>
      </c>
      <c r="D353" t="s">
        <v>2094</v>
      </c>
      <c r="E353" t="s">
        <v>1982</v>
      </c>
      <c r="F353" t="s">
        <v>204</v>
      </c>
      <c r="G353" t="s">
        <v>1991</v>
      </c>
      <c r="H353">
        <v>4440</v>
      </c>
      <c r="I353">
        <v>585</v>
      </c>
      <c r="J353">
        <v>562</v>
      </c>
      <c r="K353">
        <v>5</v>
      </c>
      <c r="L353">
        <v>1830149005</v>
      </c>
      <c r="M353">
        <v>2532201</v>
      </c>
      <c r="N353">
        <v>722.75</v>
      </c>
      <c r="O353">
        <v>378756</v>
      </c>
      <c r="P353">
        <v>1330</v>
      </c>
      <c r="Q353">
        <v>282</v>
      </c>
      <c r="R353" t="s">
        <v>1992</v>
      </c>
      <c r="S353" t="s">
        <v>1993</v>
      </c>
      <c r="T353" t="s">
        <v>1994</v>
      </c>
      <c r="U353" t="s">
        <v>1998</v>
      </c>
    </row>
    <row r="354" spans="1:21">
      <c r="A354" t="s">
        <v>2349</v>
      </c>
      <c r="B354" t="s">
        <v>2349</v>
      </c>
      <c r="C354" t="s">
        <v>2350</v>
      </c>
      <c r="D354" t="s">
        <v>2351</v>
      </c>
      <c r="E354" t="s">
        <v>1982</v>
      </c>
      <c r="F354" t="s">
        <v>204</v>
      </c>
      <c r="G354" t="s">
        <v>1991</v>
      </c>
      <c r="H354">
        <v>1654</v>
      </c>
      <c r="I354">
        <v>3095</v>
      </c>
      <c r="J354">
        <v>841</v>
      </c>
      <c r="K354">
        <v>2</v>
      </c>
      <c r="L354">
        <v>2394472250</v>
      </c>
      <c r="M354">
        <v>2392371</v>
      </c>
      <c r="N354">
        <v>1000.88</v>
      </c>
      <c r="O354">
        <v>285974</v>
      </c>
      <c r="P354">
        <v>4416</v>
      </c>
      <c r="Q354">
        <v>290</v>
      </c>
      <c r="R354" t="s">
        <v>1992</v>
      </c>
      <c r="S354" t="s">
        <v>1993</v>
      </c>
      <c r="T354" t="s">
        <v>1994</v>
      </c>
      <c r="U354" t="s">
        <v>1995</v>
      </c>
    </row>
    <row r="355" spans="1:21">
      <c r="A355" t="s">
        <v>2531</v>
      </c>
      <c r="B355" t="s">
        <v>2531</v>
      </c>
      <c r="C355" t="s">
        <v>2532</v>
      </c>
      <c r="D355" t="s">
        <v>2533</v>
      </c>
      <c r="E355" t="s">
        <v>1982</v>
      </c>
      <c r="F355" t="s">
        <v>204</v>
      </c>
      <c r="G355" t="s">
        <v>1991</v>
      </c>
      <c r="H355">
        <v>1742</v>
      </c>
      <c r="I355">
        <v>2811</v>
      </c>
      <c r="J355">
        <v>1038</v>
      </c>
      <c r="K355">
        <v>1</v>
      </c>
      <c r="L355">
        <v>2373874910</v>
      </c>
      <c r="M355">
        <v>3600265</v>
      </c>
      <c r="N355">
        <v>659.36</v>
      </c>
      <c r="O355">
        <v>441479</v>
      </c>
      <c r="P355">
        <v>1120</v>
      </c>
      <c r="Q355">
        <v>268</v>
      </c>
      <c r="R355" t="s">
        <v>1992</v>
      </c>
      <c r="S355" t="s">
        <v>1993</v>
      </c>
      <c r="T355" t="s">
        <v>1994</v>
      </c>
      <c r="U355" t="s">
        <v>1995</v>
      </c>
    </row>
    <row r="356" spans="1:21">
      <c r="A356" t="s">
        <v>2590</v>
      </c>
      <c r="B356" t="s">
        <v>2590</v>
      </c>
      <c r="C356" t="s">
        <v>2591</v>
      </c>
      <c r="D356" t="s">
        <v>2592</v>
      </c>
      <c r="E356" t="s">
        <v>1982</v>
      </c>
      <c r="F356" t="s">
        <v>204</v>
      </c>
      <c r="G356" t="s">
        <v>1991</v>
      </c>
      <c r="H356">
        <v>3216</v>
      </c>
      <c r="I356">
        <v>735</v>
      </c>
      <c r="J356">
        <v>1633</v>
      </c>
      <c r="K356">
        <v>8</v>
      </c>
      <c r="L356">
        <v>4261154642</v>
      </c>
      <c r="M356">
        <v>6290872</v>
      </c>
      <c r="N356">
        <v>677.36</v>
      </c>
      <c r="O356">
        <v>62244</v>
      </c>
      <c r="P356">
        <v>766</v>
      </c>
      <c r="Q356">
        <v>363</v>
      </c>
      <c r="R356" t="s">
        <v>1992</v>
      </c>
      <c r="S356" t="s">
        <v>1993</v>
      </c>
      <c r="T356" t="s">
        <v>1994</v>
      </c>
      <c r="U356" t="s">
        <v>31</v>
      </c>
    </row>
    <row r="357" spans="1:21">
      <c r="A357" t="s">
        <v>2831</v>
      </c>
      <c r="B357" t="s">
        <v>2831</v>
      </c>
      <c r="C357" t="s">
        <v>2832</v>
      </c>
      <c r="D357" t="s">
        <v>2833</v>
      </c>
      <c r="E357" t="s">
        <v>1982</v>
      </c>
      <c r="F357" t="s">
        <v>204</v>
      </c>
      <c r="G357" t="s">
        <v>1991</v>
      </c>
      <c r="H357">
        <v>2893</v>
      </c>
      <c r="I357">
        <v>1355</v>
      </c>
      <c r="J357">
        <v>1341</v>
      </c>
      <c r="K357">
        <v>3</v>
      </c>
      <c r="L357">
        <v>2008118819</v>
      </c>
      <c r="M357">
        <v>3340332</v>
      </c>
      <c r="N357">
        <v>601.16999999999996</v>
      </c>
      <c r="O357">
        <v>64862</v>
      </c>
      <c r="P357">
        <v>1050</v>
      </c>
      <c r="Q357">
        <v>246</v>
      </c>
      <c r="R357" t="s">
        <v>1992</v>
      </c>
      <c r="S357" t="s">
        <v>1993</v>
      </c>
      <c r="T357" t="s">
        <v>1994</v>
      </c>
      <c r="U357" t="s">
        <v>1998</v>
      </c>
    </row>
    <row r="358" spans="1:21">
      <c r="A358" t="s">
        <v>3006</v>
      </c>
      <c r="B358" t="s">
        <v>3006</v>
      </c>
      <c r="C358" t="s">
        <v>3007</v>
      </c>
      <c r="D358" t="s">
        <v>3008</v>
      </c>
      <c r="E358" t="s">
        <v>1982</v>
      </c>
      <c r="F358" t="s">
        <v>204</v>
      </c>
      <c r="G358" t="s">
        <v>1991</v>
      </c>
      <c r="H358">
        <v>5357</v>
      </c>
      <c r="I358">
        <v>114</v>
      </c>
      <c r="J358">
        <v>117</v>
      </c>
      <c r="K358">
        <v>4</v>
      </c>
      <c r="L358">
        <v>1181919751</v>
      </c>
      <c r="M358">
        <v>1209467</v>
      </c>
      <c r="N358">
        <v>977.22</v>
      </c>
      <c r="O358">
        <v>124324</v>
      </c>
      <c r="P358">
        <v>5293</v>
      </c>
      <c r="Q358">
        <v>283</v>
      </c>
      <c r="R358" t="s">
        <v>1992</v>
      </c>
      <c r="S358" t="s">
        <v>1993</v>
      </c>
      <c r="T358" t="s">
        <v>1994</v>
      </c>
      <c r="U358" t="s">
        <v>2636</v>
      </c>
    </row>
    <row r="359" spans="1:21">
      <c r="A359" t="s">
        <v>3427</v>
      </c>
      <c r="B359" t="s">
        <v>3427</v>
      </c>
      <c r="C359" t="s">
        <v>3428</v>
      </c>
      <c r="D359" t="s">
        <v>3429</v>
      </c>
      <c r="E359" t="s">
        <v>1987</v>
      </c>
      <c r="F359" t="s">
        <v>204</v>
      </c>
      <c r="G359" t="s">
        <v>1991</v>
      </c>
      <c r="H359">
        <v>3008</v>
      </c>
      <c r="I359">
        <v>1534</v>
      </c>
      <c r="J359">
        <v>1048</v>
      </c>
      <c r="K359">
        <v>2</v>
      </c>
      <c r="L359">
        <v>1321044990</v>
      </c>
      <c r="M359">
        <v>1396797</v>
      </c>
      <c r="N359">
        <v>945.77</v>
      </c>
      <c r="O359">
        <v>67557</v>
      </c>
      <c r="P359">
        <v>2421</v>
      </c>
      <c r="Q359">
        <v>301</v>
      </c>
      <c r="R359" t="s">
        <v>1992</v>
      </c>
      <c r="S359" t="s">
        <v>1993</v>
      </c>
      <c r="T359" t="s">
        <v>1994</v>
      </c>
      <c r="U359" t="s">
        <v>1995</v>
      </c>
    </row>
    <row r="360" spans="1:21">
      <c r="A360" t="s">
        <v>3135</v>
      </c>
      <c r="B360" t="s">
        <v>3135</v>
      </c>
      <c r="C360" t="s">
        <v>3136</v>
      </c>
      <c r="D360" t="s">
        <v>3137</v>
      </c>
      <c r="E360" t="s">
        <v>1982</v>
      </c>
      <c r="F360" t="s">
        <v>204</v>
      </c>
      <c r="G360" t="s">
        <v>1991</v>
      </c>
      <c r="H360">
        <v>1570</v>
      </c>
      <c r="I360">
        <v>3067</v>
      </c>
      <c r="J360">
        <v>955</v>
      </c>
      <c r="K360">
        <v>0</v>
      </c>
      <c r="L360">
        <v>1811392479</v>
      </c>
      <c r="M360">
        <v>1442902</v>
      </c>
      <c r="N360">
        <v>1255.3800000000001</v>
      </c>
      <c r="O360">
        <v>119958</v>
      </c>
      <c r="P360">
        <v>5013</v>
      </c>
      <c r="Q360">
        <v>343</v>
      </c>
      <c r="R360" t="s">
        <v>1992</v>
      </c>
      <c r="S360" t="s">
        <v>1993</v>
      </c>
      <c r="T360" t="s">
        <v>1994</v>
      </c>
      <c r="U360" t="s">
        <v>2001</v>
      </c>
    </row>
    <row r="361" spans="1:21">
      <c r="A361" t="s">
        <v>3073</v>
      </c>
      <c r="B361" t="s">
        <v>3073</v>
      </c>
      <c r="C361" t="s">
        <v>3074</v>
      </c>
      <c r="D361" t="s">
        <v>3075</v>
      </c>
      <c r="E361" t="s">
        <v>1982</v>
      </c>
      <c r="F361" t="s">
        <v>204</v>
      </c>
      <c r="G361" t="s">
        <v>1991</v>
      </c>
      <c r="H361">
        <v>4061</v>
      </c>
      <c r="I361">
        <v>683</v>
      </c>
      <c r="J361">
        <v>840</v>
      </c>
      <c r="K361">
        <v>8</v>
      </c>
      <c r="L361">
        <v>1911153000</v>
      </c>
      <c r="M361">
        <v>3754619</v>
      </c>
      <c r="N361">
        <v>509.01</v>
      </c>
      <c r="O361">
        <v>60434</v>
      </c>
      <c r="P361">
        <v>544</v>
      </c>
      <c r="Q361">
        <v>245</v>
      </c>
      <c r="R361" t="s">
        <v>1992</v>
      </c>
      <c r="S361" t="s">
        <v>1993</v>
      </c>
      <c r="T361" t="s">
        <v>1994</v>
      </c>
      <c r="U361" t="s">
        <v>3015</v>
      </c>
    </row>
    <row r="362" spans="1:21">
      <c r="A362" t="s">
        <v>3316</v>
      </c>
      <c r="B362" t="s">
        <v>3316</v>
      </c>
      <c r="C362" t="s">
        <v>3317</v>
      </c>
      <c r="D362" t="s">
        <v>3318</v>
      </c>
      <c r="E362" t="s">
        <v>31</v>
      </c>
      <c r="F362" t="s">
        <v>204</v>
      </c>
      <c r="G362" t="s">
        <v>1991</v>
      </c>
      <c r="H362">
        <v>5047</v>
      </c>
      <c r="I362">
        <v>256</v>
      </c>
      <c r="J362">
        <v>280</v>
      </c>
      <c r="K362">
        <v>9</v>
      </c>
      <c r="L362">
        <v>592791093</v>
      </c>
      <c r="M362">
        <v>931866</v>
      </c>
      <c r="N362">
        <v>636.13</v>
      </c>
      <c r="O362">
        <v>109913</v>
      </c>
      <c r="P362">
        <v>1556</v>
      </c>
      <c r="Q362">
        <v>246</v>
      </c>
      <c r="R362" t="s">
        <v>1992</v>
      </c>
      <c r="S362" t="s">
        <v>1993</v>
      </c>
      <c r="T362" t="s">
        <v>1994</v>
      </c>
      <c r="U362" t="s">
        <v>31</v>
      </c>
    </row>
    <row r="363" spans="1:21">
      <c r="A363" t="s">
        <v>3215</v>
      </c>
      <c r="B363" t="s">
        <v>3215</v>
      </c>
      <c r="C363" t="s">
        <v>3216</v>
      </c>
      <c r="D363" t="s">
        <v>3217</v>
      </c>
      <c r="E363" t="s">
        <v>1982</v>
      </c>
      <c r="F363" t="s">
        <v>204</v>
      </c>
      <c r="G363" t="s">
        <v>1991</v>
      </c>
      <c r="H363">
        <v>968</v>
      </c>
      <c r="I363">
        <v>4060</v>
      </c>
      <c r="J363">
        <v>562</v>
      </c>
      <c r="K363">
        <v>2</v>
      </c>
      <c r="L363">
        <v>2016587065</v>
      </c>
      <c r="M363">
        <v>2363468</v>
      </c>
      <c r="N363">
        <v>853.23</v>
      </c>
      <c r="O363">
        <v>76840</v>
      </c>
      <c r="P363">
        <v>2990</v>
      </c>
      <c r="Q363">
        <v>283</v>
      </c>
      <c r="R363" t="s">
        <v>1992</v>
      </c>
      <c r="S363" t="s">
        <v>1993</v>
      </c>
      <c r="T363" t="s">
        <v>1994</v>
      </c>
      <c r="U363" t="s">
        <v>1998</v>
      </c>
    </row>
    <row r="364" spans="1:21">
      <c r="A364" t="s">
        <v>3358</v>
      </c>
      <c r="B364" t="s">
        <v>3358</v>
      </c>
      <c r="C364" t="s">
        <v>3359</v>
      </c>
      <c r="D364" t="s">
        <v>3360</v>
      </c>
      <c r="E364" t="s">
        <v>1982</v>
      </c>
      <c r="F364" t="s">
        <v>204</v>
      </c>
      <c r="G364" t="s">
        <v>1991</v>
      </c>
      <c r="H364">
        <v>5178</v>
      </c>
      <c r="I364">
        <v>120</v>
      </c>
      <c r="J364">
        <v>288</v>
      </c>
      <c r="K364">
        <v>6</v>
      </c>
      <c r="L364">
        <v>1141440177</v>
      </c>
      <c r="M364">
        <v>1727400</v>
      </c>
      <c r="N364">
        <v>660.79</v>
      </c>
      <c r="O364">
        <v>59827</v>
      </c>
      <c r="P364">
        <v>1221</v>
      </c>
      <c r="Q364">
        <v>261</v>
      </c>
      <c r="R364" t="s">
        <v>1992</v>
      </c>
      <c r="S364" t="s">
        <v>1993</v>
      </c>
      <c r="T364" t="s">
        <v>1994</v>
      </c>
      <c r="U364" t="s">
        <v>2289</v>
      </c>
    </row>
    <row r="365" spans="1:21">
      <c r="A365" t="s">
        <v>3332</v>
      </c>
      <c r="B365" t="s">
        <v>3332</v>
      </c>
      <c r="C365" t="s">
        <v>3333</v>
      </c>
      <c r="D365" t="s">
        <v>3334</v>
      </c>
      <c r="E365" t="s">
        <v>1987</v>
      </c>
      <c r="F365" t="s">
        <v>204</v>
      </c>
      <c r="G365" t="s">
        <v>1991</v>
      </c>
      <c r="H365">
        <v>5345</v>
      </c>
      <c r="I365">
        <v>111</v>
      </c>
      <c r="J365">
        <v>132</v>
      </c>
      <c r="K365">
        <v>4</v>
      </c>
      <c r="L365">
        <v>954963048</v>
      </c>
      <c r="M365">
        <v>852527</v>
      </c>
      <c r="N365">
        <v>1120.1600000000001</v>
      </c>
      <c r="O365">
        <v>132156</v>
      </c>
      <c r="P365">
        <v>5358</v>
      </c>
      <c r="Q365">
        <v>326</v>
      </c>
      <c r="R365" t="s">
        <v>1992</v>
      </c>
      <c r="S365" t="s">
        <v>1993</v>
      </c>
      <c r="T365" t="s">
        <v>1994</v>
      </c>
      <c r="U365" t="s">
        <v>2289</v>
      </c>
    </row>
    <row r="366" spans="1:21">
      <c r="A366" t="s">
        <v>2072</v>
      </c>
      <c r="B366" t="s">
        <v>2072</v>
      </c>
      <c r="C366" t="s">
        <v>2073</v>
      </c>
      <c r="D366" t="s">
        <v>2074</v>
      </c>
      <c r="E366" t="s">
        <v>1982</v>
      </c>
      <c r="F366" t="s">
        <v>204</v>
      </c>
      <c r="G366" t="s">
        <v>1991</v>
      </c>
      <c r="H366">
        <v>4419</v>
      </c>
      <c r="I366">
        <v>601</v>
      </c>
      <c r="J366">
        <v>561</v>
      </c>
      <c r="K366">
        <v>11</v>
      </c>
      <c r="L366">
        <v>1253897501</v>
      </c>
      <c r="M366">
        <v>1773787</v>
      </c>
      <c r="N366">
        <v>706.9</v>
      </c>
      <c r="O366">
        <v>2072503</v>
      </c>
      <c r="P366">
        <v>1613</v>
      </c>
      <c r="Q366">
        <v>265</v>
      </c>
      <c r="R366" t="s">
        <v>1992</v>
      </c>
      <c r="S366" t="s">
        <v>1993</v>
      </c>
      <c r="T366" t="s">
        <v>1994</v>
      </c>
      <c r="U366" t="s">
        <v>1998</v>
      </c>
    </row>
    <row r="367" spans="1:21">
      <c r="A367" t="s">
        <v>2947</v>
      </c>
      <c r="B367" t="s">
        <v>2947</v>
      </c>
      <c r="C367" t="s">
        <v>2948</v>
      </c>
      <c r="D367" t="s">
        <v>2949</v>
      </c>
      <c r="E367" t="s">
        <v>1987</v>
      </c>
      <c r="F367" t="s">
        <v>204</v>
      </c>
      <c r="G367" t="s">
        <v>1991</v>
      </c>
      <c r="H367">
        <v>3610</v>
      </c>
      <c r="I367">
        <v>1079</v>
      </c>
      <c r="J367">
        <v>897</v>
      </c>
      <c r="K367">
        <v>6</v>
      </c>
      <c r="L367">
        <v>980195448</v>
      </c>
      <c r="M367">
        <v>1587649</v>
      </c>
      <c r="N367">
        <v>617.39</v>
      </c>
      <c r="O367">
        <v>71495</v>
      </c>
      <c r="P367">
        <v>1251</v>
      </c>
      <c r="Q367">
        <v>245</v>
      </c>
      <c r="R367" t="s">
        <v>1992</v>
      </c>
      <c r="S367" t="s">
        <v>1993</v>
      </c>
      <c r="T367" t="s">
        <v>1994</v>
      </c>
      <c r="U367" t="s">
        <v>1995</v>
      </c>
    </row>
    <row r="368" spans="1:21">
      <c r="A368" t="s">
        <v>2911</v>
      </c>
      <c r="B368" t="s">
        <v>2911</v>
      </c>
      <c r="C368" t="s">
        <v>2912</v>
      </c>
      <c r="D368" t="s">
        <v>2913</v>
      </c>
      <c r="E368" t="s">
        <v>1982</v>
      </c>
      <c r="F368" t="s">
        <v>204</v>
      </c>
      <c r="G368" t="s">
        <v>1991</v>
      </c>
      <c r="H368">
        <v>1253</v>
      </c>
      <c r="I368">
        <v>3467</v>
      </c>
      <c r="J368">
        <v>871</v>
      </c>
      <c r="K368">
        <v>1</v>
      </c>
      <c r="L368">
        <v>1474896240</v>
      </c>
      <c r="M368">
        <v>673886</v>
      </c>
      <c r="N368">
        <v>2188.64</v>
      </c>
      <c r="O368">
        <v>157321</v>
      </c>
      <c r="P368">
        <v>12078</v>
      </c>
      <c r="Q368">
        <v>653</v>
      </c>
      <c r="R368" t="s">
        <v>1992</v>
      </c>
      <c r="S368" t="s">
        <v>1993</v>
      </c>
      <c r="T368" t="s">
        <v>1994</v>
      </c>
      <c r="U368" t="s">
        <v>2284</v>
      </c>
    </row>
    <row r="369" spans="1:21">
      <c r="A369" t="s">
        <v>3389</v>
      </c>
      <c r="B369" t="s">
        <v>3389</v>
      </c>
      <c r="C369" t="s">
        <v>3390</v>
      </c>
      <c r="D369" t="s">
        <v>3391</v>
      </c>
      <c r="E369" t="s">
        <v>2025</v>
      </c>
      <c r="F369" t="s">
        <v>204</v>
      </c>
      <c r="G369" t="s">
        <v>1991</v>
      </c>
      <c r="H369">
        <v>5241</v>
      </c>
      <c r="I369">
        <v>119</v>
      </c>
      <c r="J369">
        <v>226</v>
      </c>
      <c r="K369">
        <v>6</v>
      </c>
      <c r="L369">
        <v>1976468846</v>
      </c>
      <c r="M369">
        <v>2878543</v>
      </c>
      <c r="N369">
        <v>686.62</v>
      </c>
      <c r="O369">
        <v>336068</v>
      </c>
      <c r="P369">
        <v>1269</v>
      </c>
      <c r="Q369">
        <v>265</v>
      </c>
      <c r="R369" t="s">
        <v>1992</v>
      </c>
      <c r="S369" t="s">
        <v>1993</v>
      </c>
      <c r="T369" t="s">
        <v>1994</v>
      </c>
      <c r="U369" t="s">
        <v>2011</v>
      </c>
    </row>
    <row r="370" spans="1:21">
      <c r="A370" t="s">
        <v>3414</v>
      </c>
      <c r="B370" t="s">
        <v>3414</v>
      </c>
      <c r="C370" t="s">
        <v>3415</v>
      </c>
      <c r="D370" t="s">
        <v>3416</v>
      </c>
      <c r="E370" t="s">
        <v>1987</v>
      </c>
      <c r="F370" t="s">
        <v>204</v>
      </c>
      <c r="G370" t="s">
        <v>1991</v>
      </c>
      <c r="H370">
        <v>5372</v>
      </c>
      <c r="I370">
        <v>118</v>
      </c>
      <c r="J370">
        <v>92</v>
      </c>
      <c r="K370">
        <v>10</v>
      </c>
      <c r="L370">
        <v>896263675</v>
      </c>
      <c r="M370">
        <v>637627</v>
      </c>
      <c r="N370">
        <v>1405.62</v>
      </c>
      <c r="O370">
        <v>240066</v>
      </c>
      <c r="P370">
        <v>10427</v>
      </c>
      <c r="Q370">
        <v>364</v>
      </c>
      <c r="R370" t="s">
        <v>1992</v>
      </c>
      <c r="S370" t="s">
        <v>1993</v>
      </c>
      <c r="T370" t="s">
        <v>1994</v>
      </c>
      <c r="U370" t="s">
        <v>2636</v>
      </c>
    </row>
    <row r="371" spans="1:21">
      <c r="A371" t="s">
        <v>3194</v>
      </c>
      <c r="B371" t="s">
        <v>3194</v>
      </c>
      <c r="C371" t="s">
        <v>3195</v>
      </c>
      <c r="D371" t="s">
        <v>3196</v>
      </c>
      <c r="E371" t="s">
        <v>1982</v>
      </c>
      <c r="F371" t="s">
        <v>204</v>
      </c>
      <c r="G371" t="s">
        <v>1991</v>
      </c>
      <c r="H371">
        <v>1697</v>
      </c>
      <c r="I371">
        <v>3230</v>
      </c>
      <c r="J371">
        <v>663</v>
      </c>
      <c r="K371">
        <v>2</v>
      </c>
      <c r="L371">
        <v>2529337390</v>
      </c>
      <c r="M371">
        <v>3820778</v>
      </c>
      <c r="N371">
        <v>662</v>
      </c>
      <c r="O371">
        <v>49406</v>
      </c>
      <c r="P371">
        <v>822</v>
      </c>
      <c r="Q371">
        <v>305</v>
      </c>
      <c r="R371" t="s">
        <v>1992</v>
      </c>
      <c r="S371" t="s">
        <v>1993</v>
      </c>
      <c r="T371" t="s">
        <v>1994</v>
      </c>
      <c r="U371" t="s">
        <v>1998</v>
      </c>
    </row>
    <row r="372" spans="1:21">
      <c r="A372" t="s">
        <v>3233</v>
      </c>
      <c r="B372" t="s">
        <v>3233</v>
      </c>
      <c r="C372" t="s">
        <v>3234</v>
      </c>
      <c r="D372" t="s">
        <v>3235</v>
      </c>
      <c r="E372" t="s">
        <v>1982</v>
      </c>
      <c r="F372" t="s">
        <v>204</v>
      </c>
      <c r="G372" t="s">
        <v>1991</v>
      </c>
      <c r="H372">
        <v>4155</v>
      </c>
      <c r="I372">
        <v>713</v>
      </c>
      <c r="J372">
        <v>719</v>
      </c>
      <c r="K372">
        <v>5</v>
      </c>
      <c r="L372">
        <v>2055538212</v>
      </c>
      <c r="M372">
        <v>3872782</v>
      </c>
      <c r="N372">
        <v>530.77</v>
      </c>
      <c r="O372">
        <v>104650</v>
      </c>
      <c r="P372">
        <v>609</v>
      </c>
      <c r="Q372">
        <v>246</v>
      </c>
      <c r="R372" t="s">
        <v>1992</v>
      </c>
      <c r="S372" t="s">
        <v>1993</v>
      </c>
      <c r="T372" t="s">
        <v>1994</v>
      </c>
      <c r="U372" t="s">
        <v>1998</v>
      </c>
    </row>
    <row r="373" spans="1:21">
      <c r="A373" t="s">
        <v>3319</v>
      </c>
      <c r="B373" t="s">
        <v>3319</v>
      </c>
      <c r="C373" t="s">
        <v>3320</v>
      </c>
      <c r="D373" t="s">
        <v>3321</v>
      </c>
      <c r="E373" t="s">
        <v>31</v>
      </c>
      <c r="F373" t="s">
        <v>204</v>
      </c>
      <c r="G373" t="s">
        <v>1991</v>
      </c>
      <c r="H373">
        <v>3503</v>
      </c>
      <c r="I373">
        <v>1058</v>
      </c>
      <c r="J373">
        <v>1022</v>
      </c>
      <c r="K373">
        <v>9</v>
      </c>
      <c r="L373">
        <v>781484654</v>
      </c>
      <c r="M373">
        <v>895439</v>
      </c>
      <c r="N373">
        <v>872.74</v>
      </c>
      <c r="O373">
        <v>201992</v>
      </c>
      <c r="P373">
        <v>1897</v>
      </c>
      <c r="Q373">
        <v>300</v>
      </c>
      <c r="R373" t="s">
        <v>1992</v>
      </c>
      <c r="S373" t="s">
        <v>1993</v>
      </c>
      <c r="T373" t="s">
        <v>1994</v>
      </c>
      <c r="U373" t="s">
        <v>31</v>
      </c>
    </row>
    <row r="374" spans="1:21">
      <c r="A374" t="s">
        <v>2969</v>
      </c>
      <c r="B374" t="s">
        <v>2969</v>
      </c>
      <c r="C374" t="s">
        <v>2970</v>
      </c>
      <c r="D374" t="s">
        <v>2971</v>
      </c>
      <c r="E374" t="s">
        <v>1987</v>
      </c>
      <c r="F374" t="s">
        <v>204</v>
      </c>
      <c r="G374" t="s">
        <v>1991</v>
      </c>
      <c r="H374">
        <v>4535</v>
      </c>
      <c r="I374">
        <v>239</v>
      </c>
      <c r="J374">
        <v>806</v>
      </c>
      <c r="K374">
        <v>12</v>
      </c>
      <c r="L374">
        <v>1290425968</v>
      </c>
      <c r="M374">
        <v>2156871</v>
      </c>
      <c r="N374">
        <v>598.29</v>
      </c>
      <c r="O374">
        <v>77780</v>
      </c>
      <c r="P374">
        <v>795</v>
      </c>
      <c r="Q374">
        <v>266</v>
      </c>
      <c r="R374" t="s">
        <v>1992</v>
      </c>
      <c r="S374" t="s">
        <v>1993</v>
      </c>
      <c r="T374" t="s">
        <v>1994</v>
      </c>
      <c r="U374" t="s">
        <v>31</v>
      </c>
    </row>
    <row r="375" spans="1:21">
      <c r="A375" t="s">
        <v>3111</v>
      </c>
      <c r="B375" t="s">
        <v>3111</v>
      </c>
      <c r="C375" t="s">
        <v>3112</v>
      </c>
      <c r="D375" t="s">
        <v>3113</v>
      </c>
      <c r="E375" t="s">
        <v>31</v>
      </c>
      <c r="F375" t="s">
        <v>204</v>
      </c>
      <c r="G375" t="s">
        <v>1991</v>
      </c>
      <c r="H375">
        <v>5358</v>
      </c>
      <c r="I375">
        <v>99</v>
      </c>
      <c r="J375">
        <v>130</v>
      </c>
      <c r="K375">
        <v>5</v>
      </c>
      <c r="L375">
        <v>1939875173</v>
      </c>
      <c r="M375">
        <v>3188309</v>
      </c>
      <c r="N375">
        <v>608.42999999999995</v>
      </c>
      <c r="O375">
        <v>97279</v>
      </c>
      <c r="P375">
        <v>847</v>
      </c>
      <c r="Q375">
        <v>248</v>
      </c>
      <c r="R375" t="s">
        <v>1992</v>
      </c>
      <c r="S375" t="s">
        <v>1993</v>
      </c>
      <c r="T375" t="s">
        <v>1994</v>
      </c>
      <c r="U375" t="s">
        <v>2446</v>
      </c>
    </row>
    <row r="376" spans="1:21">
      <c r="A376" t="s">
        <v>3365</v>
      </c>
      <c r="B376" t="s">
        <v>3365</v>
      </c>
      <c r="C376" t="s">
        <v>3366</v>
      </c>
      <c r="D376" t="s">
        <v>3367</v>
      </c>
      <c r="E376" t="s">
        <v>1982</v>
      </c>
      <c r="F376" t="s">
        <v>204</v>
      </c>
      <c r="G376" t="s">
        <v>1991</v>
      </c>
      <c r="H376">
        <v>4429</v>
      </c>
      <c r="I376">
        <v>319</v>
      </c>
      <c r="J376">
        <v>844</v>
      </c>
      <c r="K376">
        <v>0</v>
      </c>
      <c r="L376">
        <v>2066462455</v>
      </c>
      <c r="M376">
        <v>4442435</v>
      </c>
      <c r="N376">
        <v>465.16</v>
      </c>
      <c r="O376">
        <v>39941</v>
      </c>
      <c r="P376">
        <v>481</v>
      </c>
      <c r="Q376">
        <v>239</v>
      </c>
      <c r="R376" t="s">
        <v>1992</v>
      </c>
      <c r="S376" t="s">
        <v>1993</v>
      </c>
      <c r="T376" t="s">
        <v>1994</v>
      </c>
      <c r="U376" t="s">
        <v>2011</v>
      </c>
    </row>
    <row r="377" spans="1:21">
      <c r="A377" t="s">
        <v>2331</v>
      </c>
      <c r="B377" t="s">
        <v>2331</v>
      </c>
      <c r="C377" t="s">
        <v>2332</v>
      </c>
      <c r="D377" t="s">
        <v>2333</v>
      </c>
      <c r="E377" t="s">
        <v>1982</v>
      </c>
      <c r="F377" t="s">
        <v>204</v>
      </c>
      <c r="G377" t="s">
        <v>1991</v>
      </c>
      <c r="H377">
        <v>1717</v>
      </c>
      <c r="I377">
        <v>2570</v>
      </c>
      <c r="J377">
        <v>1304</v>
      </c>
      <c r="K377">
        <v>1</v>
      </c>
      <c r="L377">
        <v>2878841852</v>
      </c>
      <c r="M377">
        <v>4057980</v>
      </c>
      <c r="N377">
        <v>709.43</v>
      </c>
      <c r="O377">
        <v>295405</v>
      </c>
      <c r="P377">
        <v>1020</v>
      </c>
      <c r="Q377">
        <v>305</v>
      </c>
      <c r="R377" t="s">
        <v>1992</v>
      </c>
      <c r="S377" t="s">
        <v>1993</v>
      </c>
      <c r="T377" t="s">
        <v>1994</v>
      </c>
      <c r="U377" t="s">
        <v>1995</v>
      </c>
    </row>
    <row r="378" spans="1:21">
      <c r="A378" t="s">
        <v>2319</v>
      </c>
      <c r="B378" t="s">
        <v>2319</v>
      </c>
      <c r="C378" t="s">
        <v>2320</v>
      </c>
      <c r="D378" t="s">
        <v>2321</v>
      </c>
      <c r="E378" t="s">
        <v>1982</v>
      </c>
      <c r="F378" t="s">
        <v>204</v>
      </c>
      <c r="G378" t="s">
        <v>1991</v>
      </c>
      <c r="H378">
        <v>2423</v>
      </c>
      <c r="I378">
        <v>1835</v>
      </c>
      <c r="J378">
        <v>1331</v>
      </c>
      <c r="K378">
        <v>3</v>
      </c>
      <c r="L378">
        <v>2260181878</v>
      </c>
      <c r="M378">
        <v>4456319</v>
      </c>
      <c r="N378">
        <v>507.19</v>
      </c>
      <c r="O378">
        <v>208395</v>
      </c>
      <c r="P378">
        <v>548</v>
      </c>
      <c r="Q378">
        <v>239</v>
      </c>
      <c r="R378" t="s">
        <v>1992</v>
      </c>
      <c r="S378" t="s">
        <v>1993</v>
      </c>
      <c r="T378" t="s">
        <v>1994</v>
      </c>
      <c r="U378" t="s">
        <v>2294</v>
      </c>
    </row>
    <row r="379" spans="1:21">
      <c r="A379" t="s">
        <v>2202</v>
      </c>
      <c r="B379" t="s">
        <v>2202</v>
      </c>
      <c r="C379" t="s">
        <v>2203</v>
      </c>
      <c r="D379" t="s">
        <v>2204</v>
      </c>
      <c r="E379" t="s">
        <v>1982</v>
      </c>
      <c r="F379" t="s">
        <v>204</v>
      </c>
      <c r="G379" t="s">
        <v>1991</v>
      </c>
      <c r="H379">
        <v>4667</v>
      </c>
      <c r="I379">
        <v>427</v>
      </c>
      <c r="J379">
        <v>493</v>
      </c>
      <c r="K379">
        <v>5</v>
      </c>
      <c r="L379">
        <v>1169832915</v>
      </c>
      <c r="M379">
        <v>1778617</v>
      </c>
      <c r="N379">
        <v>657.72</v>
      </c>
      <c r="O379">
        <v>81561</v>
      </c>
      <c r="P379">
        <v>1281</v>
      </c>
      <c r="Q379">
        <v>254</v>
      </c>
      <c r="R379" t="s">
        <v>1992</v>
      </c>
      <c r="S379" t="s">
        <v>1993</v>
      </c>
      <c r="T379" t="s">
        <v>1994</v>
      </c>
      <c r="U379" t="s">
        <v>1998</v>
      </c>
    </row>
    <row r="380" spans="1:21">
      <c r="A380" t="s">
        <v>619</v>
      </c>
      <c r="B380" t="s">
        <v>31</v>
      </c>
      <c r="C380" t="s">
        <v>620</v>
      </c>
      <c r="D380" t="s">
        <v>621</v>
      </c>
      <c r="E380" t="s">
        <v>1987</v>
      </c>
      <c r="F380" t="s">
        <v>622</v>
      </c>
      <c r="G380" t="s">
        <v>18</v>
      </c>
      <c r="H380">
        <v>1739</v>
      </c>
      <c r="I380">
        <v>3482</v>
      </c>
      <c r="J380">
        <v>217</v>
      </c>
      <c r="K380">
        <v>154</v>
      </c>
      <c r="L380">
        <v>2438467165</v>
      </c>
      <c r="M380">
        <v>1764</v>
      </c>
      <c r="N380">
        <v>1382351</v>
      </c>
      <c r="O380">
        <v>413347266</v>
      </c>
      <c r="P380">
        <v>361799021</v>
      </c>
      <c r="Q380">
        <v>271427052</v>
      </c>
      <c r="R380" t="s">
        <v>1983</v>
      </c>
      <c r="S380" t="s">
        <v>1984</v>
      </c>
      <c r="T380" t="s">
        <v>2002</v>
      </c>
      <c r="U380" t="s">
        <v>2016</v>
      </c>
    </row>
    <row r="381" spans="1:21">
      <c r="A381" t="s">
        <v>84</v>
      </c>
      <c r="B381" t="s">
        <v>31</v>
      </c>
      <c r="C381" t="s">
        <v>85</v>
      </c>
      <c r="D381" t="s">
        <v>86</v>
      </c>
      <c r="E381" t="s">
        <v>1982</v>
      </c>
      <c r="F381" t="s">
        <v>87</v>
      </c>
      <c r="G381" t="s">
        <v>18</v>
      </c>
      <c r="H381">
        <v>4799</v>
      </c>
      <c r="I381">
        <v>407</v>
      </c>
      <c r="J381">
        <v>210</v>
      </c>
      <c r="K381">
        <v>176</v>
      </c>
      <c r="L381">
        <v>747771851</v>
      </c>
      <c r="M381">
        <v>688</v>
      </c>
      <c r="N381">
        <v>1086877.69</v>
      </c>
      <c r="O381">
        <v>99975282</v>
      </c>
      <c r="P381">
        <v>82054887</v>
      </c>
      <c r="Q381">
        <v>66636199</v>
      </c>
      <c r="R381" t="s">
        <v>1992</v>
      </c>
      <c r="S381" t="s">
        <v>1993</v>
      </c>
      <c r="T381" t="s">
        <v>2017</v>
      </c>
      <c r="U381" t="s">
        <v>2062</v>
      </c>
    </row>
    <row r="382" spans="1:21">
      <c r="A382" t="s">
        <v>988</v>
      </c>
      <c r="B382" t="s">
        <v>31</v>
      </c>
      <c r="C382" t="s">
        <v>983</v>
      </c>
      <c r="D382" t="s">
        <v>989</v>
      </c>
      <c r="E382" t="s">
        <v>1982</v>
      </c>
      <c r="F382" t="s">
        <v>197</v>
      </c>
      <c r="G382" t="s">
        <v>18</v>
      </c>
      <c r="H382">
        <v>1444</v>
      </c>
      <c r="I382">
        <v>4046</v>
      </c>
      <c r="J382">
        <v>67</v>
      </c>
      <c r="K382">
        <v>35</v>
      </c>
      <c r="L382">
        <v>1908065318</v>
      </c>
      <c r="M382">
        <v>19282</v>
      </c>
      <c r="N382">
        <v>98955.78</v>
      </c>
      <c r="O382">
        <v>5406526</v>
      </c>
      <c r="P382">
        <v>701829</v>
      </c>
      <c r="Q382">
        <v>115487</v>
      </c>
      <c r="R382" t="s">
        <v>1983</v>
      </c>
      <c r="S382" t="s">
        <v>2034</v>
      </c>
      <c r="T382" t="s">
        <v>2037</v>
      </c>
      <c r="U382" t="s">
        <v>2038</v>
      </c>
    </row>
    <row r="383" spans="1:21">
      <c r="A383" t="s">
        <v>1189</v>
      </c>
      <c r="B383" t="s">
        <v>31</v>
      </c>
      <c r="C383" t="s">
        <v>1190</v>
      </c>
      <c r="D383" t="s">
        <v>1191</v>
      </c>
      <c r="E383" t="s">
        <v>1982</v>
      </c>
      <c r="F383" t="s">
        <v>1192</v>
      </c>
      <c r="G383" t="s">
        <v>18</v>
      </c>
      <c r="H383">
        <v>4419</v>
      </c>
      <c r="I383">
        <v>748</v>
      </c>
      <c r="J383">
        <v>243</v>
      </c>
      <c r="K383">
        <v>182</v>
      </c>
      <c r="L383">
        <v>4634136514</v>
      </c>
      <c r="M383">
        <v>646</v>
      </c>
      <c r="N383">
        <v>7173585.9299999997</v>
      </c>
      <c r="O383">
        <v>744096988</v>
      </c>
      <c r="P383">
        <v>625473173</v>
      </c>
      <c r="Q383">
        <v>553355525</v>
      </c>
      <c r="R383" t="s">
        <v>1983</v>
      </c>
      <c r="S383" t="s">
        <v>1984</v>
      </c>
      <c r="T383" t="s">
        <v>1985</v>
      </c>
      <c r="U383" t="s">
        <v>1988</v>
      </c>
    </row>
    <row r="384" spans="1:21">
      <c r="A384" t="s">
        <v>1105</v>
      </c>
      <c r="B384" t="s">
        <v>31</v>
      </c>
      <c r="C384" t="s">
        <v>1099</v>
      </c>
      <c r="D384" t="s">
        <v>1106</v>
      </c>
      <c r="E384" t="s">
        <v>1987</v>
      </c>
      <c r="F384" t="s">
        <v>1107</v>
      </c>
      <c r="G384" t="s">
        <v>18</v>
      </c>
      <c r="H384">
        <v>5568</v>
      </c>
      <c r="I384">
        <v>18</v>
      </c>
      <c r="J384">
        <v>1</v>
      </c>
      <c r="K384">
        <v>5</v>
      </c>
      <c r="L384">
        <v>397031521</v>
      </c>
      <c r="M384">
        <v>9</v>
      </c>
      <c r="N384">
        <v>44114613.439999998</v>
      </c>
      <c r="O384">
        <v>56635340</v>
      </c>
      <c r="P384">
        <v>46382547</v>
      </c>
      <c r="Q384">
        <v>36113639</v>
      </c>
      <c r="R384" t="s">
        <v>1992</v>
      </c>
      <c r="S384" t="s">
        <v>1993</v>
      </c>
      <c r="T384" t="s">
        <v>2017</v>
      </c>
      <c r="U384" t="s">
        <v>2029</v>
      </c>
    </row>
    <row r="385" spans="1:21">
      <c r="A385" t="s">
        <v>782</v>
      </c>
      <c r="B385" t="s">
        <v>31</v>
      </c>
      <c r="C385" t="s">
        <v>775</v>
      </c>
      <c r="D385" t="s">
        <v>783</v>
      </c>
      <c r="E385" t="s">
        <v>1982</v>
      </c>
      <c r="F385" t="s">
        <v>784</v>
      </c>
      <c r="G385" t="s">
        <v>18</v>
      </c>
      <c r="H385">
        <v>4742</v>
      </c>
      <c r="I385">
        <v>503</v>
      </c>
      <c r="J385">
        <v>249</v>
      </c>
      <c r="K385">
        <v>98</v>
      </c>
      <c r="L385">
        <v>362063720</v>
      </c>
      <c r="M385">
        <v>9688</v>
      </c>
      <c r="N385">
        <v>37372.39</v>
      </c>
      <c r="O385">
        <v>46202548</v>
      </c>
      <c r="P385">
        <v>30401905</v>
      </c>
      <c r="Q385">
        <v>17164355</v>
      </c>
      <c r="R385" t="s">
        <v>1983</v>
      </c>
      <c r="S385" t="s">
        <v>2019</v>
      </c>
      <c r="T385" t="s">
        <v>2020</v>
      </c>
      <c r="U385" t="s">
        <v>2021</v>
      </c>
    </row>
    <row r="386" spans="1:21">
      <c r="A386" t="s">
        <v>800</v>
      </c>
      <c r="B386" t="s">
        <v>31</v>
      </c>
      <c r="C386" t="s">
        <v>795</v>
      </c>
      <c r="D386" t="s">
        <v>801</v>
      </c>
      <c r="E386" t="s">
        <v>1987</v>
      </c>
      <c r="F386" t="s">
        <v>71</v>
      </c>
      <c r="G386" t="s">
        <v>18</v>
      </c>
      <c r="H386">
        <v>4172</v>
      </c>
      <c r="I386">
        <v>844</v>
      </c>
      <c r="J386">
        <v>248</v>
      </c>
      <c r="K386">
        <v>328</v>
      </c>
      <c r="L386">
        <v>354610901</v>
      </c>
      <c r="M386">
        <v>3249</v>
      </c>
      <c r="N386">
        <v>109144.63</v>
      </c>
      <c r="O386">
        <v>3232522</v>
      </c>
      <c r="P386">
        <v>159640</v>
      </c>
      <c r="Q386">
        <v>46175</v>
      </c>
      <c r="R386" t="s">
        <v>1983</v>
      </c>
      <c r="S386" t="s">
        <v>2019</v>
      </c>
      <c r="T386" t="s">
        <v>2020</v>
      </c>
      <c r="U386" t="s">
        <v>2021</v>
      </c>
    </row>
    <row r="387" spans="1:21">
      <c r="A387" t="s">
        <v>845</v>
      </c>
      <c r="B387" t="s">
        <v>31</v>
      </c>
      <c r="C387" t="s">
        <v>839</v>
      </c>
      <c r="D387" t="s">
        <v>846</v>
      </c>
      <c r="E387" t="s">
        <v>1982</v>
      </c>
      <c r="F387" t="s">
        <v>71</v>
      </c>
      <c r="G387" t="s">
        <v>18</v>
      </c>
      <c r="H387">
        <v>4717</v>
      </c>
      <c r="I387">
        <v>527</v>
      </c>
      <c r="J387">
        <v>201</v>
      </c>
      <c r="K387">
        <v>147</v>
      </c>
      <c r="L387">
        <v>384518444</v>
      </c>
      <c r="M387">
        <v>2582</v>
      </c>
      <c r="N387">
        <v>148922.71</v>
      </c>
      <c r="O387">
        <v>1692155</v>
      </c>
      <c r="P387">
        <v>219409</v>
      </c>
      <c r="Q387">
        <v>65233</v>
      </c>
      <c r="R387" t="s">
        <v>1983</v>
      </c>
      <c r="S387" t="s">
        <v>2019</v>
      </c>
      <c r="T387" t="s">
        <v>2020</v>
      </c>
      <c r="U387" t="s">
        <v>2021</v>
      </c>
    </row>
    <row r="388" spans="1:21">
      <c r="A388" t="s">
        <v>1349</v>
      </c>
      <c r="B388" t="s">
        <v>31</v>
      </c>
      <c r="C388" t="s">
        <v>1350</v>
      </c>
      <c r="D388" t="s">
        <v>1351</v>
      </c>
      <c r="E388" t="s">
        <v>1982</v>
      </c>
      <c r="F388" t="s">
        <v>1352</v>
      </c>
      <c r="G388" t="s">
        <v>18</v>
      </c>
      <c r="H388">
        <v>3300</v>
      </c>
      <c r="I388">
        <v>2123</v>
      </c>
      <c r="J388">
        <v>99</v>
      </c>
      <c r="K388">
        <v>70</v>
      </c>
      <c r="L388">
        <v>334384427</v>
      </c>
      <c r="M388">
        <v>11786</v>
      </c>
      <c r="N388">
        <v>28371.32</v>
      </c>
      <c r="O388">
        <v>8501895</v>
      </c>
      <c r="P388">
        <v>2370062</v>
      </c>
      <c r="Q388">
        <v>295444</v>
      </c>
      <c r="R388" t="s">
        <v>1992</v>
      </c>
      <c r="S388" t="s">
        <v>2012</v>
      </c>
      <c r="T388" t="s">
        <v>2032</v>
      </c>
      <c r="U388" t="s">
        <v>2040</v>
      </c>
    </row>
    <row r="389" spans="1:21">
      <c r="A389" t="s">
        <v>1357</v>
      </c>
      <c r="B389" t="s">
        <v>31</v>
      </c>
      <c r="C389" t="s">
        <v>1358</v>
      </c>
      <c r="D389" t="s">
        <v>1359</v>
      </c>
      <c r="E389" t="s">
        <v>1982</v>
      </c>
      <c r="F389" t="s">
        <v>1352</v>
      </c>
      <c r="G389" t="s">
        <v>18</v>
      </c>
      <c r="H389">
        <v>1111</v>
      </c>
      <c r="I389">
        <v>4223</v>
      </c>
      <c r="J389">
        <v>185</v>
      </c>
      <c r="K389">
        <v>73</v>
      </c>
      <c r="L389">
        <v>563438595</v>
      </c>
      <c r="M389">
        <v>13609</v>
      </c>
      <c r="N389">
        <v>41401.910000000003</v>
      </c>
      <c r="O389">
        <v>1041506</v>
      </c>
      <c r="P389">
        <v>108897</v>
      </c>
      <c r="Q389">
        <v>25435</v>
      </c>
      <c r="R389" t="s">
        <v>1992</v>
      </c>
      <c r="S389" t="s">
        <v>2012</v>
      </c>
      <c r="T389" t="s">
        <v>2032</v>
      </c>
      <c r="U389" t="s">
        <v>2040</v>
      </c>
    </row>
    <row r="390" spans="1:21">
      <c r="A390" t="s">
        <v>1364</v>
      </c>
      <c r="B390" t="s">
        <v>31</v>
      </c>
      <c r="C390" t="s">
        <v>1365</v>
      </c>
      <c r="D390" t="s">
        <v>1366</v>
      </c>
      <c r="E390" t="s">
        <v>1982</v>
      </c>
      <c r="F390" t="s">
        <v>1352</v>
      </c>
      <c r="G390" t="s">
        <v>18</v>
      </c>
      <c r="H390">
        <v>2924</v>
      </c>
      <c r="I390">
        <v>2490</v>
      </c>
      <c r="J390">
        <v>109</v>
      </c>
      <c r="K390">
        <v>69</v>
      </c>
      <c r="L390">
        <v>397009957</v>
      </c>
      <c r="M390">
        <v>11428</v>
      </c>
      <c r="N390">
        <v>34740.11</v>
      </c>
      <c r="O390">
        <v>1506652</v>
      </c>
      <c r="P390">
        <v>111449</v>
      </c>
      <c r="Q390">
        <v>25493</v>
      </c>
      <c r="R390" t="s">
        <v>1992</v>
      </c>
      <c r="S390" t="s">
        <v>2012</v>
      </c>
      <c r="T390" t="s">
        <v>2032</v>
      </c>
      <c r="U390" t="s">
        <v>2040</v>
      </c>
    </row>
    <row r="391" spans="1:21">
      <c r="A391" t="s">
        <v>398</v>
      </c>
      <c r="B391" t="s">
        <v>31</v>
      </c>
      <c r="C391" t="s">
        <v>399</v>
      </c>
      <c r="D391" t="s">
        <v>400</v>
      </c>
      <c r="E391" t="s">
        <v>1982</v>
      </c>
      <c r="F391" t="s">
        <v>197</v>
      </c>
      <c r="G391" t="s">
        <v>18</v>
      </c>
      <c r="H391">
        <v>5280</v>
      </c>
      <c r="I391">
        <v>103</v>
      </c>
      <c r="J391">
        <v>151</v>
      </c>
      <c r="K391">
        <v>58</v>
      </c>
      <c r="L391">
        <v>589166415</v>
      </c>
      <c r="M391">
        <v>17436</v>
      </c>
      <c r="N391">
        <v>33790.230000000003</v>
      </c>
      <c r="O391">
        <v>503854</v>
      </c>
      <c r="P391">
        <v>74581</v>
      </c>
      <c r="Q391">
        <v>20591</v>
      </c>
      <c r="R391" t="s">
        <v>1992</v>
      </c>
      <c r="S391" t="s">
        <v>1993</v>
      </c>
      <c r="T391" t="s">
        <v>2017</v>
      </c>
      <c r="U391" t="s">
        <v>2526</v>
      </c>
    </row>
    <row r="392" spans="1:21">
      <c r="A392" t="s">
        <v>1091</v>
      </c>
      <c r="B392" t="s">
        <v>31</v>
      </c>
      <c r="C392" t="s">
        <v>1084</v>
      </c>
      <c r="D392" t="s">
        <v>1092</v>
      </c>
      <c r="E392" t="s">
        <v>1987</v>
      </c>
      <c r="F392" t="s">
        <v>1093</v>
      </c>
      <c r="G392" t="s">
        <v>18</v>
      </c>
      <c r="H392">
        <v>4980</v>
      </c>
      <c r="I392">
        <v>585</v>
      </c>
      <c r="J392">
        <v>7</v>
      </c>
      <c r="K392">
        <v>20</v>
      </c>
      <c r="L392">
        <v>477541705</v>
      </c>
      <c r="M392">
        <v>2689</v>
      </c>
      <c r="N392">
        <v>177590.82</v>
      </c>
      <c r="O392">
        <v>65039919</v>
      </c>
      <c r="P392">
        <v>53212001</v>
      </c>
      <c r="Q392">
        <v>39546705</v>
      </c>
      <c r="R392" t="s">
        <v>1992</v>
      </c>
      <c r="S392" t="s">
        <v>1993</v>
      </c>
      <c r="T392" t="s">
        <v>2017</v>
      </c>
      <c r="U392" t="s">
        <v>2029</v>
      </c>
    </row>
    <row r="393" spans="1:21">
      <c r="A393" t="s">
        <v>231</v>
      </c>
      <c r="B393" t="s">
        <v>31</v>
      </c>
      <c r="C393" t="s">
        <v>201</v>
      </c>
      <c r="D393" t="s">
        <v>232</v>
      </c>
      <c r="E393" t="s">
        <v>1987</v>
      </c>
      <c r="F393" t="s">
        <v>197</v>
      </c>
      <c r="G393" t="s">
        <v>18</v>
      </c>
      <c r="H393">
        <v>4197</v>
      </c>
      <c r="I393">
        <v>312</v>
      </c>
      <c r="J393">
        <v>867</v>
      </c>
      <c r="K393">
        <v>216</v>
      </c>
      <c r="L393">
        <v>214715582</v>
      </c>
      <c r="M393">
        <v>68977</v>
      </c>
      <c r="N393">
        <v>3112.86</v>
      </c>
      <c r="O393">
        <v>79556</v>
      </c>
      <c r="P393">
        <v>10067</v>
      </c>
      <c r="Q393">
        <v>1629</v>
      </c>
      <c r="R393" t="s">
        <v>1983</v>
      </c>
      <c r="S393" t="s">
        <v>1984</v>
      </c>
      <c r="T393" t="s">
        <v>2004</v>
      </c>
      <c r="U393" t="s">
        <v>2005</v>
      </c>
    </row>
    <row r="394" spans="1:21">
      <c r="A394" t="s">
        <v>1176</v>
      </c>
      <c r="B394" t="s">
        <v>31</v>
      </c>
      <c r="C394" t="s">
        <v>1177</v>
      </c>
      <c r="D394" t="s">
        <v>1178</v>
      </c>
      <c r="E394" t="s">
        <v>1982</v>
      </c>
      <c r="F394" t="s">
        <v>700</v>
      </c>
      <c r="G394" t="s">
        <v>18</v>
      </c>
      <c r="H394">
        <v>4604</v>
      </c>
      <c r="I394">
        <v>973</v>
      </c>
      <c r="J394">
        <v>10</v>
      </c>
      <c r="K394">
        <v>5</v>
      </c>
      <c r="L394">
        <v>889201528</v>
      </c>
      <c r="M394">
        <v>3179</v>
      </c>
      <c r="N394">
        <v>279711.08</v>
      </c>
      <c r="O394">
        <v>6403453</v>
      </c>
      <c r="P394">
        <v>600859</v>
      </c>
      <c r="Q394">
        <v>123647</v>
      </c>
      <c r="R394" t="s">
        <v>1992</v>
      </c>
      <c r="S394" t="s">
        <v>1993</v>
      </c>
      <c r="T394" t="s">
        <v>1994</v>
      </c>
      <c r="U394" t="s">
        <v>1995</v>
      </c>
    </row>
    <row r="395" spans="1:21">
      <c r="A395" t="s">
        <v>1342</v>
      </c>
      <c r="B395" t="s">
        <v>31</v>
      </c>
      <c r="C395" t="s">
        <v>1343</v>
      </c>
      <c r="D395" t="s">
        <v>1344</v>
      </c>
      <c r="E395" t="s">
        <v>1987</v>
      </c>
      <c r="F395" t="s">
        <v>71</v>
      </c>
      <c r="G395" t="s">
        <v>18</v>
      </c>
      <c r="H395">
        <v>2779</v>
      </c>
      <c r="I395">
        <v>2406</v>
      </c>
      <c r="J395">
        <v>227</v>
      </c>
      <c r="K395">
        <v>180</v>
      </c>
      <c r="L395">
        <v>1288765485</v>
      </c>
      <c r="M395">
        <v>2142</v>
      </c>
      <c r="N395">
        <v>601664.56000000006</v>
      </c>
      <c r="O395">
        <v>118006097</v>
      </c>
      <c r="P395">
        <v>98769966</v>
      </c>
      <c r="Q395">
        <v>39125943</v>
      </c>
      <c r="R395" t="s">
        <v>1983</v>
      </c>
      <c r="S395" t="s">
        <v>2019</v>
      </c>
      <c r="T395" t="s">
        <v>2020</v>
      </c>
      <c r="U395" t="s">
        <v>2045</v>
      </c>
    </row>
    <row r="396" spans="1:21">
      <c r="A396" t="s">
        <v>640</v>
      </c>
      <c r="B396" t="s">
        <v>31</v>
      </c>
      <c r="C396" t="s">
        <v>641</v>
      </c>
      <c r="D396" t="s">
        <v>642</v>
      </c>
      <c r="E396" t="s">
        <v>1982</v>
      </c>
      <c r="F396" t="s">
        <v>643</v>
      </c>
      <c r="G396" t="s">
        <v>18</v>
      </c>
      <c r="H396">
        <v>781</v>
      </c>
      <c r="I396">
        <v>4765</v>
      </c>
      <c r="J396">
        <v>26</v>
      </c>
      <c r="K396">
        <v>20</v>
      </c>
      <c r="L396">
        <v>2684453698</v>
      </c>
      <c r="M396">
        <v>2419</v>
      </c>
      <c r="N396">
        <v>1109736.96</v>
      </c>
      <c r="O396">
        <v>230797271</v>
      </c>
      <c r="P396">
        <v>142959281</v>
      </c>
      <c r="Q396">
        <v>87228421</v>
      </c>
      <c r="R396" t="s">
        <v>1992</v>
      </c>
      <c r="S396" t="s">
        <v>1993</v>
      </c>
      <c r="T396" t="s">
        <v>1994</v>
      </c>
      <c r="U396" t="s">
        <v>2001</v>
      </c>
    </row>
    <row r="397" spans="1:21">
      <c r="A397" t="s">
        <v>957</v>
      </c>
      <c r="B397" t="s">
        <v>31</v>
      </c>
      <c r="C397" t="s">
        <v>958</v>
      </c>
      <c r="D397" t="s">
        <v>959</v>
      </c>
      <c r="E397" t="s">
        <v>1982</v>
      </c>
      <c r="F397" t="s">
        <v>79</v>
      </c>
      <c r="G397" t="s">
        <v>18</v>
      </c>
      <c r="H397">
        <v>3982</v>
      </c>
      <c r="I397">
        <v>971</v>
      </c>
      <c r="J397">
        <v>374</v>
      </c>
      <c r="K397">
        <v>265</v>
      </c>
      <c r="L397">
        <v>1002922384</v>
      </c>
      <c r="M397">
        <v>121</v>
      </c>
      <c r="N397">
        <v>8288614.7400000002</v>
      </c>
      <c r="O397">
        <v>96863253</v>
      </c>
      <c r="P397">
        <v>84671961</v>
      </c>
      <c r="Q397">
        <v>72041526</v>
      </c>
      <c r="R397" t="s">
        <v>3036</v>
      </c>
      <c r="S397" t="s">
        <v>3037</v>
      </c>
      <c r="T397" t="s">
        <v>3038</v>
      </c>
      <c r="U397" t="s">
        <v>31</v>
      </c>
    </row>
    <row r="398" spans="1:21">
      <c r="A398" t="s">
        <v>1044</v>
      </c>
      <c r="B398" t="s">
        <v>31</v>
      </c>
      <c r="C398" t="s">
        <v>1045</v>
      </c>
      <c r="D398" t="s">
        <v>1046</v>
      </c>
      <c r="E398" t="s">
        <v>1982</v>
      </c>
      <c r="F398" t="s">
        <v>1047</v>
      </c>
      <c r="G398" t="s">
        <v>18</v>
      </c>
      <c r="H398">
        <v>0</v>
      </c>
      <c r="I398">
        <v>5590</v>
      </c>
      <c r="J398">
        <v>1</v>
      </c>
      <c r="K398">
        <v>1</v>
      </c>
      <c r="L398">
        <v>6804885551</v>
      </c>
      <c r="M398">
        <v>9617</v>
      </c>
      <c r="N398">
        <v>707589.22</v>
      </c>
      <c r="O398">
        <v>149504399</v>
      </c>
      <c r="P398">
        <v>82862972</v>
      </c>
      <c r="Q398">
        <v>52719268</v>
      </c>
      <c r="R398" t="s">
        <v>1992</v>
      </c>
      <c r="S398" t="s">
        <v>1993</v>
      </c>
      <c r="T398" t="s">
        <v>1994</v>
      </c>
      <c r="U398" t="s">
        <v>2001</v>
      </c>
    </row>
    <row r="399" spans="1:21">
      <c r="A399" t="s">
        <v>285</v>
      </c>
      <c r="B399" t="s">
        <v>31</v>
      </c>
      <c r="C399" t="s">
        <v>268</v>
      </c>
      <c r="D399" t="s">
        <v>286</v>
      </c>
      <c r="E399" t="s">
        <v>1987</v>
      </c>
      <c r="F399" t="s">
        <v>71</v>
      </c>
      <c r="G399" t="s">
        <v>18</v>
      </c>
      <c r="H399">
        <v>4819</v>
      </c>
      <c r="I399">
        <v>657</v>
      </c>
      <c r="J399">
        <v>48</v>
      </c>
      <c r="K399">
        <v>68</v>
      </c>
      <c r="L399">
        <v>1891076116</v>
      </c>
      <c r="M399">
        <v>331</v>
      </c>
      <c r="N399">
        <v>5713220.8899999997</v>
      </c>
      <c r="O399">
        <v>312407696</v>
      </c>
      <c r="P399">
        <v>278463204</v>
      </c>
      <c r="Q399">
        <v>182039561</v>
      </c>
      <c r="R399" t="s">
        <v>1992</v>
      </c>
      <c r="S399" t="s">
        <v>1993</v>
      </c>
      <c r="T399" t="s">
        <v>2017</v>
      </c>
      <c r="U399" t="s">
        <v>2029</v>
      </c>
    </row>
    <row r="400" spans="1:21">
      <c r="A400" t="s">
        <v>274</v>
      </c>
      <c r="B400" t="s">
        <v>31</v>
      </c>
      <c r="C400" t="s">
        <v>268</v>
      </c>
      <c r="D400" t="s">
        <v>275</v>
      </c>
      <c r="E400" t="s">
        <v>1987</v>
      </c>
      <c r="F400" t="s">
        <v>31</v>
      </c>
      <c r="G400" t="s">
        <v>18</v>
      </c>
      <c r="H400">
        <v>5198</v>
      </c>
      <c r="I400">
        <v>284</v>
      </c>
      <c r="J400">
        <v>46</v>
      </c>
      <c r="K400">
        <v>64</v>
      </c>
      <c r="L400">
        <v>1911911742</v>
      </c>
      <c r="M400">
        <v>98</v>
      </c>
      <c r="N400">
        <v>19509303.489999998</v>
      </c>
      <c r="O400">
        <v>336277151</v>
      </c>
      <c r="P400">
        <v>266773674</v>
      </c>
      <c r="Q400">
        <v>179323160</v>
      </c>
      <c r="R400" t="s">
        <v>1992</v>
      </c>
      <c r="S400" t="s">
        <v>1993</v>
      </c>
      <c r="T400" t="s">
        <v>2017</v>
      </c>
      <c r="U400" t="s">
        <v>2029</v>
      </c>
    </row>
    <row r="401" spans="1:21">
      <c r="A401" t="s">
        <v>290</v>
      </c>
      <c r="B401" t="s">
        <v>31</v>
      </c>
      <c r="C401" t="s">
        <v>268</v>
      </c>
      <c r="D401" t="s">
        <v>291</v>
      </c>
      <c r="E401" t="s">
        <v>1987</v>
      </c>
      <c r="F401" t="s">
        <v>71</v>
      </c>
      <c r="G401" t="s">
        <v>18</v>
      </c>
      <c r="H401">
        <v>5072</v>
      </c>
      <c r="I401">
        <v>344</v>
      </c>
      <c r="J401">
        <v>69</v>
      </c>
      <c r="K401">
        <v>107</v>
      </c>
      <c r="L401">
        <v>1937978486</v>
      </c>
      <c r="M401">
        <v>138</v>
      </c>
      <c r="N401">
        <v>14043322.359999999</v>
      </c>
      <c r="O401">
        <v>335689828</v>
      </c>
      <c r="P401">
        <v>261446531</v>
      </c>
      <c r="Q401">
        <v>184878682</v>
      </c>
      <c r="R401" t="s">
        <v>1992</v>
      </c>
      <c r="S401" t="s">
        <v>1993</v>
      </c>
      <c r="T401" t="s">
        <v>2017</v>
      </c>
      <c r="U401" t="s">
        <v>2029</v>
      </c>
    </row>
    <row r="402" spans="1:21">
      <c r="A402" t="s">
        <v>280</v>
      </c>
      <c r="B402" t="s">
        <v>31</v>
      </c>
      <c r="C402" t="s">
        <v>268</v>
      </c>
      <c r="D402" t="s">
        <v>281</v>
      </c>
      <c r="E402" t="s">
        <v>1987</v>
      </c>
      <c r="F402" t="s">
        <v>31</v>
      </c>
      <c r="G402" t="s">
        <v>18</v>
      </c>
      <c r="H402">
        <v>4731</v>
      </c>
      <c r="I402">
        <v>674</v>
      </c>
      <c r="J402">
        <v>71</v>
      </c>
      <c r="K402">
        <v>116</v>
      </c>
      <c r="L402">
        <v>1950230613</v>
      </c>
      <c r="M402">
        <v>69</v>
      </c>
      <c r="N402">
        <v>28264211.780000001</v>
      </c>
      <c r="O402">
        <v>326442068</v>
      </c>
      <c r="P402">
        <v>279171780</v>
      </c>
      <c r="Q402">
        <v>165922782</v>
      </c>
      <c r="R402" t="s">
        <v>1992</v>
      </c>
      <c r="S402" t="s">
        <v>1993</v>
      </c>
      <c r="T402" t="s">
        <v>2017</v>
      </c>
      <c r="U402" t="s">
        <v>2029</v>
      </c>
    </row>
    <row r="403" spans="1:21">
      <c r="A403" t="s">
        <v>55</v>
      </c>
      <c r="B403" t="s">
        <v>31</v>
      </c>
      <c r="C403" t="s">
        <v>56</v>
      </c>
      <c r="D403" t="s">
        <v>57</v>
      </c>
      <c r="E403" t="s">
        <v>1987</v>
      </c>
      <c r="F403" t="s">
        <v>17</v>
      </c>
      <c r="G403" t="s">
        <v>18</v>
      </c>
      <c r="H403">
        <v>4332</v>
      </c>
      <c r="I403">
        <v>710</v>
      </c>
      <c r="J403">
        <v>284</v>
      </c>
      <c r="K403">
        <v>266</v>
      </c>
      <c r="L403">
        <v>4110187043</v>
      </c>
      <c r="M403">
        <v>10827</v>
      </c>
      <c r="N403">
        <v>379623.81</v>
      </c>
      <c r="O403">
        <v>597334302</v>
      </c>
      <c r="P403">
        <v>530918953</v>
      </c>
      <c r="Q403">
        <v>470101627</v>
      </c>
      <c r="R403" t="s">
        <v>1983</v>
      </c>
      <c r="S403" t="s">
        <v>1984</v>
      </c>
      <c r="T403" t="s">
        <v>1985</v>
      </c>
      <c r="U403" t="s">
        <v>1988</v>
      </c>
    </row>
    <row r="404" spans="1:21">
      <c r="A404" t="s">
        <v>14</v>
      </c>
      <c r="B404" t="s">
        <v>31</v>
      </c>
      <c r="C404" t="s">
        <v>15</v>
      </c>
      <c r="D404" t="s">
        <v>16</v>
      </c>
      <c r="E404" t="s">
        <v>1987</v>
      </c>
      <c r="F404" t="s">
        <v>17</v>
      </c>
      <c r="G404" t="s">
        <v>18</v>
      </c>
      <c r="H404">
        <v>3592</v>
      </c>
      <c r="I404">
        <v>1550</v>
      </c>
      <c r="J404">
        <v>250</v>
      </c>
      <c r="K404">
        <v>200</v>
      </c>
      <c r="L404">
        <v>5902718208</v>
      </c>
      <c r="M404">
        <v>172</v>
      </c>
      <c r="N404">
        <v>34318129.119999997</v>
      </c>
      <c r="O404">
        <v>887308025</v>
      </c>
      <c r="P404">
        <v>816571685</v>
      </c>
      <c r="Q404">
        <v>698790287</v>
      </c>
      <c r="R404" t="s">
        <v>1983</v>
      </c>
      <c r="S404" t="s">
        <v>1984</v>
      </c>
      <c r="T404" t="s">
        <v>1985</v>
      </c>
      <c r="U404" t="s">
        <v>1988</v>
      </c>
    </row>
    <row r="405" spans="1:21">
      <c r="A405" t="s">
        <v>36</v>
      </c>
      <c r="B405" t="s">
        <v>31</v>
      </c>
      <c r="C405" t="s">
        <v>37</v>
      </c>
      <c r="D405" t="s">
        <v>38</v>
      </c>
      <c r="E405" t="s">
        <v>1987</v>
      </c>
      <c r="F405" t="s">
        <v>17</v>
      </c>
      <c r="G405" t="s">
        <v>18</v>
      </c>
      <c r="H405">
        <v>4277</v>
      </c>
      <c r="I405">
        <v>758</v>
      </c>
      <c r="J405">
        <v>294</v>
      </c>
      <c r="K405">
        <v>263</v>
      </c>
      <c r="L405">
        <v>5336424591</v>
      </c>
      <c r="M405">
        <v>24621</v>
      </c>
      <c r="N405">
        <v>216742.8</v>
      </c>
      <c r="O405">
        <v>750148016</v>
      </c>
      <c r="P405">
        <v>646289097</v>
      </c>
      <c r="Q405">
        <v>94926</v>
      </c>
      <c r="R405" t="s">
        <v>1983</v>
      </c>
      <c r="S405" t="s">
        <v>1984</v>
      </c>
      <c r="T405" t="s">
        <v>1985</v>
      </c>
      <c r="U405" t="s">
        <v>1988</v>
      </c>
    </row>
    <row r="406" spans="1:21">
      <c r="A406" t="s">
        <v>23</v>
      </c>
      <c r="B406" t="s">
        <v>31</v>
      </c>
      <c r="C406" t="s">
        <v>24</v>
      </c>
      <c r="D406" t="s">
        <v>25</v>
      </c>
      <c r="E406" t="s">
        <v>1987</v>
      </c>
      <c r="F406" t="s">
        <v>17</v>
      </c>
      <c r="G406" t="s">
        <v>18</v>
      </c>
      <c r="H406">
        <v>4020</v>
      </c>
      <c r="I406">
        <v>1012</v>
      </c>
      <c r="J406">
        <v>292</v>
      </c>
      <c r="K406">
        <v>268</v>
      </c>
      <c r="L406">
        <v>5796085646</v>
      </c>
      <c r="M406">
        <v>21779</v>
      </c>
      <c r="N406">
        <v>266131.84999999998</v>
      </c>
      <c r="O406">
        <v>852151948</v>
      </c>
      <c r="P406">
        <v>757558930</v>
      </c>
      <c r="Q406">
        <v>662208516</v>
      </c>
      <c r="R406" t="s">
        <v>1983</v>
      </c>
      <c r="S406" t="s">
        <v>1984</v>
      </c>
      <c r="T406" t="s">
        <v>1985</v>
      </c>
      <c r="U406" t="s">
        <v>1988</v>
      </c>
    </row>
    <row r="407" spans="1:21">
      <c r="A407" t="s">
        <v>49</v>
      </c>
      <c r="B407" t="s">
        <v>31</v>
      </c>
      <c r="C407" t="s">
        <v>44</v>
      </c>
      <c r="D407" t="s">
        <v>50</v>
      </c>
      <c r="E407" t="s">
        <v>1987</v>
      </c>
      <c r="F407" t="s">
        <v>17</v>
      </c>
      <c r="G407" t="s">
        <v>18</v>
      </c>
      <c r="H407">
        <v>3983</v>
      </c>
      <c r="I407">
        <v>1044</v>
      </c>
      <c r="J407">
        <v>290</v>
      </c>
      <c r="K407">
        <v>275</v>
      </c>
      <c r="L407">
        <v>5892836925</v>
      </c>
      <c r="M407">
        <v>22657</v>
      </c>
      <c r="N407">
        <v>260089.02</v>
      </c>
      <c r="O407">
        <v>839451269</v>
      </c>
      <c r="P407">
        <v>703022076</v>
      </c>
      <c r="Q407">
        <v>151026</v>
      </c>
      <c r="R407" t="s">
        <v>1983</v>
      </c>
      <c r="S407" t="s">
        <v>1984</v>
      </c>
      <c r="T407" t="s">
        <v>1985</v>
      </c>
      <c r="U407" t="s">
        <v>1988</v>
      </c>
    </row>
    <row r="408" spans="1:21">
      <c r="A408" t="s">
        <v>447</v>
      </c>
      <c r="B408" t="s">
        <v>31</v>
      </c>
      <c r="C408" t="s">
        <v>433</v>
      </c>
      <c r="D408" t="s">
        <v>448</v>
      </c>
      <c r="E408" t="s">
        <v>1987</v>
      </c>
      <c r="F408" t="s">
        <v>449</v>
      </c>
      <c r="G408" t="s">
        <v>18</v>
      </c>
      <c r="H408">
        <v>874</v>
      </c>
      <c r="I408">
        <v>4364</v>
      </c>
      <c r="J408">
        <v>318</v>
      </c>
      <c r="K408">
        <v>36</v>
      </c>
      <c r="L408">
        <v>1195986209</v>
      </c>
      <c r="M408">
        <v>525627</v>
      </c>
      <c r="N408">
        <v>2275.35</v>
      </c>
      <c r="O408">
        <v>454778</v>
      </c>
      <c r="P408">
        <v>23733</v>
      </c>
      <c r="Q408">
        <v>667</v>
      </c>
      <c r="R408" t="s">
        <v>1992</v>
      </c>
      <c r="S408" t="s">
        <v>2012</v>
      </c>
      <c r="T408" t="s">
        <v>2013</v>
      </c>
      <c r="U408" t="s">
        <v>2014</v>
      </c>
    </row>
    <row r="409" spans="1:21">
      <c r="A409" t="s">
        <v>633</v>
      </c>
      <c r="B409" t="s">
        <v>31</v>
      </c>
      <c r="C409" t="s">
        <v>634</v>
      </c>
      <c r="D409" t="s">
        <v>31</v>
      </c>
      <c r="E409" t="s">
        <v>1987</v>
      </c>
      <c r="F409" t="s">
        <v>635</v>
      </c>
      <c r="G409" t="s">
        <v>18</v>
      </c>
      <c r="H409">
        <v>1172</v>
      </c>
      <c r="I409">
        <v>4265</v>
      </c>
      <c r="J409">
        <v>87</v>
      </c>
      <c r="K409">
        <v>68</v>
      </c>
      <c r="L409">
        <v>1118670587</v>
      </c>
      <c r="M409">
        <v>460</v>
      </c>
      <c r="N409">
        <v>2431892.58</v>
      </c>
      <c r="O409">
        <v>68321696</v>
      </c>
      <c r="P409">
        <v>53044242</v>
      </c>
      <c r="Q409">
        <v>33011866</v>
      </c>
      <c r="R409" t="s">
        <v>1992</v>
      </c>
      <c r="S409" t="s">
        <v>1993</v>
      </c>
      <c r="T409" t="s">
        <v>1994</v>
      </c>
      <c r="U409" t="s">
        <v>31</v>
      </c>
    </row>
    <row r="410" spans="1:21">
      <c r="A410" t="s">
        <v>1052</v>
      </c>
      <c r="B410" t="s">
        <v>31</v>
      </c>
      <c r="C410" t="s">
        <v>1053</v>
      </c>
      <c r="D410" t="s">
        <v>1054</v>
      </c>
      <c r="E410" t="s">
        <v>1982</v>
      </c>
      <c r="F410" t="s">
        <v>1055</v>
      </c>
      <c r="G410" t="s">
        <v>18</v>
      </c>
      <c r="H410">
        <v>17</v>
      </c>
      <c r="I410">
        <v>5575</v>
      </c>
      <c r="J410">
        <v>0</v>
      </c>
      <c r="K410">
        <v>0</v>
      </c>
      <c r="L410">
        <v>2761164190</v>
      </c>
      <c r="M410">
        <v>1033</v>
      </c>
      <c r="N410">
        <v>2672956.62</v>
      </c>
      <c r="O410">
        <v>103582827</v>
      </c>
      <c r="P410">
        <v>68640501</v>
      </c>
      <c r="Q410">
        <v>53408251</v>
      </c>
      <c r="R410" t="s">
        <v>1992</v>
      </c>
      <c r="S410" t="s">
        <v>1993</v>
      </c>
      <c r="T410" t="s">
        <v>1994</v>
      </c>
      <c r="U410" t="s">
        <v>2001</v>
      </c>
    </row>
    <row r="411" spans="1:21">
      <c r="A411" t="s">
        <v>545</v>
      </c>
      <c r="B411" t="s">
        <v>31</v>
      </c>
      <c r="C411" t="s">
        <v>546</v>
      </c>
      <c r="D411" t="s">
        <v>547</v>
      </c>
      <c r="E411" t="s">
        <v>1987</v>
      </c>
      <c r="F411" t="s">
        <v>548</v>
      </c>
      <c r="G411" t="s">
        <v>18</v>
      </c>
      <c r="H411">
        <v>4566</v>
      </c>
      <c r="I411">
        <v>579</v>
      </c>
      <c r="J411">
        <v>245</v>
      </c>
      <c r="K411">
        <v>202</v>
      </c>
      <c r="L411">
        <v>3815965547</v>
      </c>
      <c r="M411">
        <v>1197</v>
      </c>
      <c r="N411">
        <v>3187941.14</v>
      </c>
      <c r="O411">
        <v>588092371</v>
      </c>
      <c r="P411">
        <v>524471465</v>
      </c>
      <c r="Q411">
        <v>450127416</v>
      </c>
      <c r="R411" t="s">
        <v>1983</v>
      </c>
      <c r="S411" t="s">
        <v>1984</v>
      </c>
      <c r="T411" t="s">
        <v>1985</v>
      </c>
      <c r="U411" t="s">
        <v>1986</v>
      </c>
    </row>
    <row r="412" spans="1:21">
      <c r="A412" t="s">
        <v>937</v>
      </c>
      <c r="B412" t="s">
        <v>31</v>
      </c>
      <c r="C412" t="s">
        <v>938</v>
      </c>
      <c r="D412" t="s">
        <v>939</v>
      </c>
      <c r="E412" t="s">
        <v>1982</v>
      </c>
      <c r="F412" t="s">
        <v>71</v>
      </c>
      <c r="G412" t="s">
        <v>18</v>
      </c>
      <c r="H412">
        <v>5363</v>
      </c>
      <c r="I412">
        <v>186</v>
      </c>
      <c r="J412">
        <v>27</v>
      </c>
      <c r="K412">
        <v>16</v>
      </c>
      <c r="L412">
        <v>540949507</v>
      </c>
      <c r="M412">
        <v>49</v>
      </c>
      <c r="N412">
        <v>11039785.859999999</v>
      </c>
      <c r="O412">
        <v>76919331</v>
      </c>
      <c r="P412">
        <v>49314041</v>
      </c>
      <c r="Q412">
        <v>41083595</v>
      </c>
      <c r="R412" t="s">
        <v>1992</v>
      </c>
      <c r="S412" t="s">
        <v>1993</v>
      </c>
      <c r="T412" t="s">
        <v>2027</v>
      </c>
      <c r="U412" t="s">
        <v>2028</v>
      </c>
    </row>
    <row r="413" spans="1:21">
      <c r="A413" t="s">
        <v>302</v>
      </c>
      <c r="B413" t="s">
        <v>31</v>
      </c>
      <c r="C413" t="s">
        <v>303</v>
      </c>
      <c r="D413" t="s">
        <v>304</v>
      </c>
      <c r="E413" t="s">
        <v>1982</v>
      </c>
      <c r="F413" t="s">
        <v>17</v>
      </c>
      <c r="G413" t="s">
        <v>18</v>
      </c>
      <c r="H413">
        <v>188</v>
      </c>
      <c r="I413">
        <v>5398</v>
      </c>
      <c r="J413">
        <v>5</v>
      </c>
      <c r="K413">
        <v>1</v>
      </c>
      <c r="L413">
        <v>2017999361</v>
      </c>
      <c r="M413">
        <v>14</v>
      </c>
      <c r="N413">
        <v>144142811.5</v>
      </c>
      <c r="O413">
        <v>215882565</v>
      </c>
      <c r="P413">
        <v>144436163</v>
      </c>
      <c r="Q413">
        <v>103529680</v>
      </c>
      <c r="R413" t="s">
        <v>1992</v>
      </c>
      <c r="S413" t="s">
        <v>1993</v>
      </c>
      <c r="T413" t="s">
        <v>2017</v>
      </c>
      <c r="U413" t="s">
        <v>2029</v>
      </c>
    </row>
    <row r="414" spans="1:21">
      <c r="A414" t="s">
        <v>473</v>
      </c>
      <c r="B414" t="s">
        <v>31</v>
      </c>
      <c r="C414" t="s">
        <v>455</v>
      </c>
      <c r="D414" t="s">
        <v>474</v>
      </c>
      <c r="E414" t="s">
        <v>1987</v>
      </c>
      <c r="F414" t="s">
        <v>204</v>
      </c>
      <c r="G414" t="s">
        <v>18</v>
      </c>
      <c r="H414">
        <v>5172</v>
      </c>
      <c r="I414">
        <v>267</v>
      </c>
      <c r="J414">
        <v>106</v>
      </c>
      <c r="K414">
        <v>47</v>
      </c>
      <c r="L414">
        <v>485871440</v>
      </c>
      <c r="M414">
        <v>23366</v>
      </c>
      <c r="N414">
        <v>20793.95</v>
      </c>
      <c r="O414">
        <v>662120</v>
      </c>
      <c r="P414">
        <v>51886</v>
      </c>
      <c r="Q414">
        <v>10553</v>
      </c>
      <c r="R414" t="s">
        <v>1992</v>
      </c>
      <c r="S414" t="s">
        <v>2012</v>
      </c>
      <c r="T414" t="s">
        <v>2013</v>
      </c>
      <c r="U414" t="s">
        <v>2014</v>
      </c>
    </row>
    <row r="415" spans="1:21">
      <c r="A415" t="s">
        <v>194</v>
      </c>
      <c r="B415" t="s">
        <v>31</v>
      </c>
      <c r="C415" t="s">
        <v>195</v>
      </c>
      <c r="D415" t="s">
        <v>196</v>
      </c>
      <c r="E415" t="s">
        <v>1982</v>
      </c>
      <c r="F415" t="s">
        <v>197</v>
      </c>
      <c r="G415" t="s">
        <v>18</v>
      </c>
      <c r="H415">
        <v>497</v>
      </c>
      <c r="I415">
        <v>5058</v>
      </c>
      <c r="J415">
        <v>26</v>
      </c>
      <c r="K415">
        <v>11</v>
      </c>
      <c r="L415">
        <v>1213273491</v>
      </c>
      <c r="M415">
        <v>14671</v>
      </c>
      <c r="N415">
        <v>82698.759999999995</v>
      </c>
      <c r="O415">
        <v>95095653</v>
      </c>
      <c r="P415">
        <v>53950350</v>
      </c>
      <c r="Q415">
        <v>42636893</v>
      </c>
      <c r="R415" t="s">
        <v>1992</v>
      </c>
      <c r="S415" t="s">
        <v>1993</v>
      </c>
      <c r="T415" t="s">
        <v>1994</v>
      </c>
      <c r="U415" t="s">
        <v>1995</v>
      </c>
    </row>
    <row r="416" spans="1:21">
      <c r="A416" t="s">
        <v>143</v>
      </c>
      <c r="B416" t="s">
        <v>31</v>
      </c>
      <c r="C416" t="s">
        <v>144</v>
      </c>
      <c r="D416" t="s">
        <v>145</v>
      </c>
      <c r="E416" t="s">
        <v>1987</v>
      </c>
      <c r="F416" t="s">
        <v>146</v>
      </c>
      <c r="G416" t="s">
        <v>18</v>
      </c>
      <c r="H416">
        <v>279</v>
      </c>
      <c r="I416">
        <v>4960</v>
      </c>
      <c r="J416">
        <v>196</v>
      </c>
      <c r="K416">
        <v>157</v>
      </c>
      <c r="L416">
        <v>7519203740</v>
      </c>
      <c r="M416">
        <v>879</v>
      </c>
      <c r="N416">
        <v>8554270.4700000007</v>
      </c>
      <c r="O416">
        <v>677758395</v>
      </c>
      <c r="P416">
        <v>496942717</v>
      </c>
      <c r="Q416">
        <v>395804754</v>
      </c>
      <c r="R416" t="s">
        <v>1983</v>
      </c>
      <c r="S416" t="s">
        <v>1984</v>
      </c>
      <c r="T416" t="s">
        <v>2002</v>
      </c>
      <c r="U416" t="s">
        <v>2003</v>
      </c>
    </row>
    <row r="417" spans="1:21">
      <c r="A417" t="s">
        <v>176</v>
      </c>
      <c r="B417" t="s">
        <v>31</v>
      </c>
      <c r="C417" t="s">
        <v>170</v>
      </c>
      <c r="D417" t="s">
        <v>177</v>
      </c>
      <c r="E417" t="s">
        <v>1987</v>
      </c>
      <c r="F417" t="s">
        <v>146</v>
      </c>
      <c r="G417" t="s">
        <v>18</v>
      </c>
      <c r="H417">
        <v>110</v>
      </c>
      <c r="I417">
        <v>5135</v>
      </c>
      <c r="J417">
        <v>198</v>
      </c>
      <c r="K417">
        <v>149</v>
      </c>
      <c r="L417">
        <v>10757463545</v>
      </c>
      <c r="M417">
        <v>134</v>
      </c>
      <c r="N417">
        <v>80279578.689999998</v>
      </c>
      <c r="O417">
        <v>701822418</v>
      </c>
      <c r="P417">
        <v>498923318</v>
      </c>
      <c r="Q417">
        <v>451837890</v>
      </c>
      <c r="R417" t="s">
        <v>1983</v>
      </c>
      <c r="S417" t="s">
        <v>1984</v>
      </c>
      <c r="T417" t="s">
        <v>2002</v>
      </c>
      <c r="U417" t="s">
        <v>2003</v>
      </c>
    </row>
    <row r="418" spans="1:21">
      <c r="A418" t="s">
        <v>417</v>
      </c>
      <c r="B418" t="s">
        <v>31</v>
      </c>
      <c r="C418" t="s">
        <v>418</v>
      </c>
      <c r="D418" t="s">
        <v>419</v>
      </c>
      <c r="E418" t="s">
        <v>1987</v>
      </c>
      <c r="F418" t="s">
        <v>87</v>
      </c>
      <c r="G418" t="s">
        <v>18</v>
      </c>
      <c r="H418">
        <v>492</v>
      </c>
      <c r="I418">
        <v>5075</v>
      </c>
      <c r="J418">
        <v>20</v>
      </c>
      <c r="K418">
        <v>5</v>
      </c>
      <c r="L418">
        <v>1008707388</v>
      </c>
      <c r="M418">
        <v>19699</v>
      </c>
      <c r="N418">
        <v>51206.02</v>
      </c>
      <c r="O418">
        <v>972899</v>
      </c>
      <c r="P418">
        <v>107384</v>
      </c>
      <c r="Q418">
        <v>28350</v>
      </c>
      <c r="R418" t="s">
        <v>1992</v>
      </c>
      <c r="S418" t="s">
        <v>1993</v>
      </c>
      <c r="T418" t="s">
        <v>2017</v>
      </c>
      <c r="U418" t="s">
        <v>2062</v>
      </c>
    </row>
    <row r="419" spans="1:21">
      <c r="A419" t="s">
        <v>1183</v>
      </c>
      <c r="B419" t="s">
        <v>31</v>
      </c>
      <c r="C419" t="s">
        <v>1177</v>
      </c>
      <c r="D419" t="s">
        <v>1184</v>
      </c>
      <c r="E419" t="s">
        <v>1982</v>
      </c>
      <c r="F419" t="s">
        <v>79</v>
      </c>
      <c r="G419" t="s">
        <v>18</v>
      </c>
      <c r="H419">
        <v>3681</v>
      </c>
      <c r="I419">
        <v>1247</v>
      </c>
      <c r="J419">
        <v>457</v>
      </c>
      <c r="K419">
        <v>207</v>
      </c>
      <c r="L419">
        <v>704812868</v>
      </c>
      <c r="M419">
        <v>42253</v>
      </c>
      <c r="N419">
        <v>16680.78</v>
      </c>
      <c r="O419">
        <v>46112570</v>
      </c>
      <c r="P419">
        <v>22423</v>
      </c>
      <c r="Q419">
        <v>6272</v>
      </c>
      <c r="R419" t="s">
        <v>1992</v>
      </c>
      <c r="S419" t="s">
        <v>1993</v>
      </c>
      <c r="T419" t="s">
        <v>1994</v>
      </c>
      <c r="U419" t="s">
        <v>1995</v>
      </c>
    </row>
    <row r="420" spans="1:21">
      <c r="A420" t="s">
        <v>361</v>
      </c>
      <c r="B420" t="s">
        <v>31</v>
      </c>
      <c r="C420" t="s">
        <v>362</v>
      </c>
      <c r="D420" t="s">
        <v>363</v>
      </c>
      <c r="E420" t="s">
        <v>1982</v>
      </c>
      <c r="F420" t="s">
        <v>197</v>
      </c>
      <c r="G420" t="s">
        <v>18</v>
      </c>
      <c r="H420">
        <v>4746</v>
      </c>
      <c r="I420">
        <v>120</v>
      </c>
      <c r="J420">
        <v>724</v>
      </c>
      <c r="K420">
        <v>2</v>
      </c>
      <c r="L420">
        <v>545468938</v>
      </c>
      <c r="M420">
        <v>552188</v>
      </c>
      <c r="N420">
        <v>987.83</v>
      </c>
      <c r="O420">
        <v>69741</v>
      </c>
      <c r="P420">
        <v>1584</v>
      </c>
      <c r="Q420">
        <v>399</v>
      </c>
      <c r="R420" t="s">
        <v>1992</v>
      </c>
      <c r="S420" t="s">
        <v>1993</v>
      </c>
      <c r="T420" t="s">
        <v>1994</v>
      </c>
      <c r="U420" t="s">
        <v>1995</v>
      </c>
    </row>
    <row r="421" spans="1:21">
      <c r="A421" t="s">
        <v>225</v>
      </c>
      <c r="B421" t="s">
        <v>31</v>
      </c>
      <c r="C421" t="s">
        <v>201</v>
      </c>
      <c r="D421" t="s">
        <v>226</v>
      </c>
      <c r="E421" t="s">
        <v>1987</v>
      </c>
      <c r="F421" t="s">
        <v>197</v>
      </c>
      <c r="G421" t="s">
        <v>18</v>
      </c>
      <c r="H421">
        <v>4366</v>
      </c>
      <c r="I421">
        <v>373</v>
      </c>
      <c r="J421">
        <v>666</v>
      </c>
      <c r="K421">
        <v>187</v>
      </c>
      <c r="L421">
        <v>218015378</v>
      </c>
      <c r="M421">
        <v>65964</v>
      </c>
      <c r="N421">
        <v>3305.07</v>
      </c>
      <c r="O421">
        <v>100800</v>
      </c>
      <c r="P421">
        <v>12280</v>
      </c>
      <c r="Q421">
        <v>1642</v>
      </c>
      <c r="R421" t="s">
        <v>1983</v>
      </c>
      <c r="S421" t="s">
        <v>1984</v>
      </c>
      <c r="T421" t="s">
        <v>2004</v>
      </c>
      <c r="U421" t="s">
        <v>2005</v>
      </c>
    </row>
    <row r="422" spans="1:21">
      <c r="A422" t="s">
        <v>219</v>
      </c>
      <c r="B422" t="s">
        <v>31</v>
      </c>
      <c r="C422" t="s">
        <v>201</v>
      </c>
      <c r="D422" t="s">
        <v>220</v>
      </c>
      <c r="E422" t="s">
        <v>1987</v>
      </c>
      <c r="F422" t="s">
        <v>197</v>
      </c>
      <c r="G422" t="s">
        <v>18</v>
      </c>
      <c r="H422">
        <v>4458</v>
      </c>
      <c r="I422">
        <v>378</v>
      </c>
      <c r="J422">
        <v>577</v>
      </c>
      <c r="K422">
        <v>179</v>
      </c>
      <c r="L422">
        <v>218676357</v>
      </c>
      <c r="M422">
        <v>60421</v>
      </c>
      <c r="N422">
        <v>3619.21</v>
      </c>
      <c r="O422">
        <v>89966</v>
      </c>
      <c r="P422">
        <v>13727</v>
      </c>
      <c r="Q422">
        <v>1944</v>
      </c>
      <c r="R422" t="s">
        <v>1983</v>
      </c>
      <c r="S422" t="s">
        <v>1984</v>
      </c>
      <c r="T422" t="s">
        <v>2004</v>
      </c>
      <c r="U422" t="s">
        <v>2005</v>
      </c>
    </row>
    <row r="423" spans="1:21">
      <c r="A423" t="s">
        <v>381</v>
      </c>
      <c r="B423" t="s">
        <v>31</v>
      </c>
      <c r="C423" t="s">
        <v>375</v>
      </c>
      <c r="D423" t="s">
        <v>2525</v>
      </c>
      <c r="E423" t="s">
        <v>1982</v>
      </c>
      <c r="F423" t="s">
        <v>197</v>
      </c>
      <c r="G423" t="s">
        <v>18</v>
      </c>
      <c r="H423">
        <v>4319</v>
      </c>
      <c r="I423">
        <v>494</v>
      </c>
      <c r="J423">
        <v>605</v>
      </c>
      <c r="K423">
        <v>174</v>
      </c>
      <c r="L423">
        <v>839914838</v>
      </c>
      <c r="M423">
        <v>1072009</v>
      </c>
      <c r="N423">
        <v>783.5</v>
      </c>
      <c r="O423">
        <v>46075</v>
      </c>
      <c r="P423">
        <v>1656</v>
      </c>
      <c r="Q423">
        <v>276</v>
      </c>
      <c r="R423" t="s">
        <v>1983</v>
      </c>
      <c r="S423" t="s">
        <v>1984</v>
      </c>
      <c r="T423" t="s">
        <v>2002</v>
      </c>
      <c r="U423" t="s">
        <v>2524</v>
      </c>
    </row>
    <row r="424" spans="1:21">
      <c r="A424" t="s">
        <v>1293</v>
      </c>
      <c r="B424" t="s">
        <v>31</v>
      </c>
      <c r="C424" t="s">
        <v>1294</v>
      </c>
      <c r="D424" t="s">
        <v>1295</v>
      </c>
      <c r="E424" t="s">
        <v>1987</v>
      </c>
      <c r="F424" t="s">
        <v>71</v>
      </c>
      <c r="G424" t="s">
        <v>18</v>
      </c>
      <c r="H424">
        <v>1153</v>
      </c>
      <c r="I424">
        <v>4437</v>
      </c>
      <c r="J424">
        <v>2</v>
      </c>
      <c r="K424">
        <v>0</v>
      </c>
      <c r="L424">
        <v>5596586848</v>
      </c>
      <c r="M424">
        <v>3138</v>
      </c>
      <c r="N424">
        <v>1783488.48</v>
      </c>
      <c r="O424">
        <v>249603241</v>
      </c>
      <c r="P424">
        <v>64825417</v>
      </c>
      <c r="Q424">
        <v>975345</v>
      </c>
      <c r="R424" t="s">
        <v>1992</v>
      </c>
      <c r="S424" t="s">
        <v>1993</v>
      </c>
      <c r="T424" t="s">
        <v>1994</v>
      </c>
      <c r="U424" t="s">
        <v>3460</v>
      </c>
    </row>
    <row r="425" spans="1:21">
      <c r="A425" t="s">
        <v>156</v>
      </c>
      <c r="B425" t="s">
        <v>31</v>
      </c>
      <c r="C425" t="s">
        <v>157</v>
      </c>
      <c r="D425">
        <v>447</v>
      </c>
      <c r="E425" t="s">
        <v>1987</v>
      </c>
      <c r="F425" t="s">
        <v>158</v>
      </c>
      <c r="G425" t="s">
        <v>18</v>
      </c>
      <c r="H425">
        <v>3848</v>
      </c>
      <c r="I425">
        <v>1258</v>
      </c>
      <c r="J425">
        <v>264</v>
      </c>
      <c r="K425">
        <v>222</v>
      </c>
      <c r="L425">
        <v>3847578604</v>
      </c>
      <c r="M425">
        <v>7</v>
      </c>
      <c r="N425">
        <v>549654086.28999996</v>
      </c>
      <c r="O425">
        <v>594546470</v>
      </c>
      <c r="P425">
        <v>583925327</v>
      </c>
      <c r="Q425">
        <v>453691697</v>
      </c>
      <c r="R425" t="s">
        <v>1983</v>
      </c>
      <c r="S425" t="s">
        <v>1984</v>
      </c>
      <c r="T425" t="s">
        <v>2002</v>
      </c>
      <c r="U425" t="s">
        <v>2003</v>
      </c>
    </row>
    <row r="426" spans="1:21">
      <c r="A426" t="s">
        <v>944</v>
      </c>
      <c r="B426" t="s">
        <v>31</v>
      </c>
      <c r="C426" t="s">
        <v>945</v>
      </c>
      <c r="D426" t="s">
        <v>946</v>
      </c>
      <c r="E426" t="s">
        <v>1982</v>
      </c>
      <c r="F426" t="s">
        <v>947</v>
      </c>
      <c r="G426" t="s">
        <v>18</v>
      </c>
      <c r="H426">
        <v>5210</v>
      </c>
      <c r="I426">
        <v>324</v>
      </c>
      <c r="J426">
        <v>24</v>
      </c>
      <c r="K426">
        <v>34</v>
      </c>
      <c r="L426">
        <v>517974767</v>
      </c>
      <c r="M426">
        <v>179</v>
      </c>
      <c r="N426">
        <v>2893713.78</v>
      </c>
      <c r="O426">
        <v>61355573</v>
      </c>
      <c r="P426">
        <v>47058851</v>
      </c>
      <c r="Q426">
        <v>43423328</v>
      </c>
      <c r="R426" t="s">
        <v>1992</v>
      </c>
      <c r="S426" t="s">
        <v>1993</v>
      </c>
      <c r="T426" t="s">
        <v>2027</v>
      </c>
      <c r="U426" t="s">
        <v>2028</v>
      </c>
    </row>
    <row r="427" spans="1:21">
      <c r="A427" t="s">
        <v>454</v>
      </c>
      <c r="B427" t="s">
        <v>31</v>
      </c>
      <c r="C427" t="s">
        <v>455</v>
      </c>
      <c r="D427" t="s">
        <v>456</v>
      </c>
      <c r="E427" t="s">
        <v>1987</v>
      </c>
      <c r="F427" t="s">
        <v>348</v>
      </c>
      <c r="G427" t="s">
        <v>18</v>
      </c>
      <c r="H427">
        <v>5213</v>
      </c>
      <c r="I427">
        <v>264</v>
      </c>
      <c r="J427">
        <v>71</v>
      </c>
      <c r="K427">
        <v>44</v>
      </c>
      <c r="L427">
        <v>522528889</v>
      </c>
      <c r="M427">
        <v>108</v>
      </c>
      <c r="N427">
        <v>4838230.45</v>
      </c>
      <c r="O427">
        <v>70926600</v>
      </c>
      <c r="P427">
        <v>57376714</v>
      </c>
      <c r="Q427">
        <v>42109816</v>
      </c>
      <c r="R427" t="s">
        <v>1992</v>
      </c>
      <c r="S427" t="s">
        <v>2012</v>
      </c>
      <c r="T427" t="s">
        <v>2013</v>
      </c>
      <c r="U427" t="s">
        <v>2014</v>
      </c>
    </row>
    <row r="428" spans="1:21">
      <c r="A428" t="s">
        <v>461</v>
      </c>
      <c r="B428" t="s">
        <v>31</v>
      </c>
      <c r="C428" t="s">
        <v>455</v>
      </c>
      <c r="D428" t="s">
        <v>462</v>
      </c>
      <c r="E428" t="s">
        <v>1987</v>
      </c>
      <c r="F428" t="s">
        <v>348</v>
      </c>
      <c r="G428" t="s">
        <v>18</v>
      </c>
      <c r="H428">
        <v>5216</v>
      </c>
      <c r="I428">
        <v>261</v>
      </c>
      <c r="J428">
        <v>70</v>
      </c>
      <c r="K428">
        <v>45</v>
      </c>
      <c r="L428">
        <v>560405648</v>
      </c>
      <c r="M428">
        <v>60</v>
      </c>
      <c r="N428">
        <v>9340094.1300000008</v>
      </c>
      <c r="O428">
        <v>71620515</v>
      </c>
      <c r="P428">
        <v>51198921</v>
      </c>
      <c r="Q428">
        <v>15889054</v>
      </c>
      <c r="R428" t="s">
        <v>1992</v>
      </c>
      <c r="S428" t="s">
        <v>2012</v>
      </c>
      <c r="T428" t="s">
        <v>2013</v>
      </c>
      <c r="U428" t="s">
        <v>2014</v>
      </c>
    </row>
    <row r="429" spans="1:21">
      <c r="A429" t="s">
        <v>735</v>
      </c>
      <c r="B429" t="s">
        <v>31</v>
      </c>
      <c r="C429" t="s">
        <v>736</v>
      </c>
      <c r="D429" t="s">
        <v>737</v>
      </c>
      <c r="E429" t="s">
        <v>1982</v>
      </c>
      <c r="F429" t="s">
        <v>71</v>
      </c>
      <c r="G429" t="s">
        <v>18</v>
      </c>
      <c r="H429">
        <v>1319</v>
      </c>
      <c r="I429">
        <v>4023</v>
      </c>
      <c r="J429">
        <v>162</v>
      </c>
      <c r="K429">
        <v>88</v>
      </c>
      <c r="L429">
        <v>573362877</v>
      </c>
      <c r="M429">
        <v>450</v>
      </c>
      <c r="N429">
        <v>1274139.73</v>
      </c>
      <c r="O429">
        <v>37520647</v>
      </c>
      <c r="P429">
        <v>23112565</v>
      </c>
      <c r="Q429">
        <v>16161634</v>
      </c>
      <c r="R429" t="s">
        <v>1983</v>
      </c>
      <c r="S429" t="s">
        <v>2019</v>
      </c>
      <c r="T429" t="s">
        <v>2020</v>
      </c>
      <c r="U429" t="s">
        <v>2021</v>
      </c>
    </row>
    <row r="430" spans="1:21">
      <c r="A430" t="s">
        <v>316</v>
      </c>
      <c r="B430" t="s">
        <v>31</v>
      </c>
      <c r="C430" t="s">
        <v>317</v>
      </c>
      <c r="D430" t="s">
        <v>318</v>
      </c>
      <c r="E430" t="s">
        <v>1982</v>
      </c>
      <c r="F430" t="s">
        <v>17</v>
      </c>
      <c r="G430" t="s">
        <v>18</v>
      </c>
      <c r="H430">
        <v>3834</v>
      </c>
      <c r="I430">
        <v>1649</v>
      </c>
      <c r="J430">
        <v>67</v>
      </c>
      <c r="K430">
        <v>42</v>
      </c>
      <c r="L430">
        <v>603255848</v>
      </c>
      <c r="M430">
        <v>5224</v>
      </c>
      <c r="N430">
        <v>115477.77</v>
      </c>
      <c r="O430">
        <v>8824165</v>
      </c>
      <c r="P430">
        <v>310098</v>
      </c>
      <c r="Q430">
        <v>50084</v>
      </c>
      <c r="R430" t="s">
        <v>1992</v>
      </c>
      <c r="S430" t="s">
        <v>2012</v>
      </c>
      <c r="T430" t="s">
        <v>2013</v>
      </c>
      <c r="U430" t="s">
        <v>2014</v>
      </c>
    </row>
    <row r="431" spans="1:21">
      <c r="A431" t="s">
        <v>76</v>
      </c>
      <c r="B431" t="s">
        <v>31</v>
      </c>
      <c r="C431" t="s">
        <v>77</v>
      </c>
      <c r="D431" t="s">
        <v>78</v>
      </c>
      <c r="E431" t="s">
        <v>1987</v>
      </c>
      <c r="F431" t="s">
        <v>79</v>
      </c>
      <c r="G431" t="s">
        <v>18</v>
      </c>
      <c r="H431">
        <v>4482</v>
      </c>
      <c r="I431">
        <v>686</v>
      </c>
      <c r="J431">
        <v>245</v>
      </c>
      <c r="K431">
        <v>179</v>
      </c>
      <c r="L431">
        <v>4226360594</v>
      </c>
      <c r="M431">
        <v>7</v>
      </c>
      <c r="N431">
        <v>603765799.13999999</v>
      </c>
      <c r="O431">
        <v>664393216</v>
      </c>
      <c r="P431">
        <v>626841358</v>
      </c>
      <c r="Q431">
        <v>494422770</v>
      </c>
      <c r="R431" t="s">
        <v>1983</v>
      </c>
      <c r="S431" t="s">
        <v>1984</v>
      </c>
      <c r="T431" t="s">
        <v>1985</v>
      </c>
      <c r="U431" t="s">
        <v>1988</v>
      </c>
    </row>
    <row r="432" spans="1:21">
      <c r="A432" t="s">
        <v>424</v>
      </c>
      <c r="B432" t="s">
        <v>31</v>
      </c>
      <c r="C432" t="s">
        <v>425</v>
      </c>
      <c r="D432" t="s">
        <v>426</v>
      </c>
      <c r="E432" t="s">
        <v>1987</v>
      </c>
      <c r="F432" t="s">
        <v>427</v>
      </c>
      <c r="G432" t="s">
        <v>18</v>
      </c>
      <c r="H432">
        <v>108</v>
      </c>
      <c r="I432">
        <v>5473</v>
      </c>
      <c r="J432">
        <v>6</v>
      </c>
      <c r="K432">
        <v>5</v>
      </c>
      <c r="L432">
        <v>1002677761</v>
      </c>
      <c r="M432">
        <v>819</v>
      </c>
      <c r="N432">
        <v>1224270.77</v>
      </c>
      <c r="O432">
        <v>72873931</v>
      </c>
      <c r="P432">
        <v>58069259</v>
      </c>
      <c r="Q432">
        <v>40919496</v>
      </c>
      <c r="R432" t="s">
        <v>1992</v>
      </c>
      <c r="S432" t="s">
        <v>1993</v>
      </c>
      <c r="T432" t="s">
        <v>2017</v>
      </c>
      <c r="U432" t="s">
        <v>2062</v>
      </c>
    </row>
    <row r="433" spans="1:21">
      <c r="A433" t="s">
        <v>1120</v>
      </c>
      <c r="B433" t="s">
        <v>31</v>
      </c>
      <c r="C433" t="s">
        <v>1113</v>
      </c>
      <c r="D433" t="s">
        <v>1121</v>
      </c>
      <c r="E433" t="s">
        <v>1987</v>
      </c>
      <c r="F433" t="s">
        <v>1122</v>
      </c>
      <c r="G433" t="s">
        <v>18</v>
      </c>
      <c r="H433">
        <v>5584</v>
      </c>
      <c r="I433">
        <v>8</v>
      </c>
      <c r="J433">
        <v>0</v>
      </c>
      <c r="K433">
        <v>0</v>
      </c>
      <c r="L433">
        <v>724366872</v>
      </c>
      <c r="M433">
        <v>10</v>
      </c>
      <c r="N433">
        <v>72436687.200000003</v>
      </c>
      <c r="O433">
        <v>85860725</v>
      </c>
      <c r="P433">
        <v>70869005</v>
      </c>
      <c r="Q433">
        <v>64726331</v>
      </c>
      <c r="R433" t="s">
        <v>1992</v>
      </c>
      <c r="S433" t="s">
        <v>1993</v>
      </c>
      <c r="T433" t="s">
        <v>1994</v>
      </c>
      <c r="U433" t="s">
        <v>2011</v>
      </c>
    </row>
    <row r="434" spans="1:21">
      <c r="A434" t="s">
        <v>1127</v>
      </c>
      <c r="B434" t="s">
        <v>31</v>
      </c>
      <c r="C434" t="s">
        <v>1113</v>
      </c>
      <c r="D434" t="s">
        <v>1128</v>
      </c>
      <c r="E434" t="s">
        <v>1987</v>
      </c>
      <c r="F434" t="s">
        <v>1122</v>
      </c>
      <c r="G434" t="s">
        <v>18</v>
      </c>
      <c r="H434">
        <v>5582</v>
      </c>
      <c r="I434">
        <v>10</v>
      </c>
      <c r="J434">
        <v>0</v>
      </c>
      <c r="K434">
        <v>0</v>
      </c>
      <c r="L434">
        <v>726888120</v>
      </c>
      <c r="M434">
        <v>10</v>
      </c>
      <c r="N434">
        <v>72688812</v>
      </c>
      <c r="O434">
        <v>89897868</v>
      </c>
      <c r="P434">
        <v>70702946</v>
      </c>
      <c r="Q434">
        <v>63820623</v>
      </c>
      <c r="R434" t="s">
        <v>1992</v>
      </c>
      <c r="S434" t="s">
        <v>1993</v>
      </c>
      <c r="T434" t="s">
        <v>1994</v>
      </c>
      <c r="U434" t="s">
        <v>2011</v>
      </c>
    </row>
    <row r="435" spans="1:21">
      <c r="A435" t="s">
        <v>467</v>
      </c>
      <c r="B435" t="s">
        <v>31</v>
      </c>
      <c r="C435" t="s">
        <v>455</v>
      </c>
      <c r="D435" t="s">
        <v>468</v>
      </c>
      <c r="E435" t="s">
        <v>1987</v>
      </c>
      <c r="F435" t="s">
        <v>197</v>
      </c>
      <c r="G435" t="s">
        <v>18</v>
      </c>
      <c r="H435">
        <v>5157</v>
      </c>
      <c r="I435">
        <v>275</v>
      </c>
      <c r="J435">
        <v>113</v>
      </c>
      <c r="K435">
        <v>47</v>
      </c>
      <c r="L435">
        <v>492270386</v>
      </c>
      <c r="M435">
        <v>24072</v>
      </c>
      <c r="N435">
        <v>20449.919999999998</v>
      </c>
      <c r="O435">
        <v>2439579</v>
      </c>
      <c r="P435">
        <v>233459</v>
      </c>
      <c r="Q435">
        <v>31097</v>
      </c>
      <c r="R435" t="s">
        <v>1992</v>
      </c>
      <c r="S435" t="s">
        <v>2012</v>
      </c>
      <c r="T435" t="s">
        <v>2013</v>
      </c>
      <c r="U435" t="s">
        <v>2014</v>
      </c>
    </row>
    <row r="436" spans="1:21">
      <c r="A436" t="s">
        <v>295</v>
      </c>
      <c r="B436" t="s">
        <v>31</v>
      </c>
      <c r="C436" t="s">
        <v>296</v>
      </c>
      <c r="D436" t="s">
        <v>297</v>
      </c>
      <c r="E436" t="s">
        <v>1987</v>
      </c>
      <c r="F436" t="s">
        <v>71</v>
      </c>
      <c r="G436" t="s">
        <v>18</v>
      </c>
      <c r="H436">
        <v>102</v>
      </c>
      <c r="I436">
        <v>5483</v>
      </c>
      <c r="J436">
        <v>5</v>
      </c>
      <c r="K436">
        <v>2</v>
      </c>
      <c r="L436">
        <v>1982127367</v>
      </c>
      <c r="M436">
        <v>96</v>
      </c>
      <c r="N436">
        <v>20647160.07</v>
      </c>
      <c r="O436">
        <v>206947183</v>
      </c>
      <c r="P436">
        <v>138540858</v>
      </c>
      <c r="Q436">
        <v>106282096</v>
      </c>
      <c r="R436" t="s">
        <v>1992</v>
      </c>
      <c r="S436" t="s">
        <v>1993</v>
      </c>
      <c r="T436" t="s">
        <v>2017</v>
      </c>
      <c r="U436" t="s">
        <v>2029</v>
      </c>
    </row>
    <row r="437" spans="1:21">
      <c r="A437" t="s">
        <v>806</v>
      </c>
      <c r="B437" t="s">
        <v>31</v>
      </c>
      <c r="C437" t="s">
        <v>807</v>
      </c>
      <c r="D437" t="s">
        <v>808</v>
      </c>
      <c r="E437" t="s">
        <v>1982</v>
      </c>
      <c r="F437" t="s">
        <v>809</v>
      </c>
      <c r="G437" t="s">
        <v>18</v>
      </c>
      <c r="H437">
        <v>4862</v>
      </c>
      <c r="I437">
        <v>434</v>
      </c>
      <c r="J437">
        <v>188</v>
      </c>
      <c r="K437">
        <v>108</v>
      </c>
      <c r="L437">
        <v>776957456</v>
      </c>
      <c r="M437">
        <v>4618</v>
      </c>
      <c r="N437">
        <v>168245.44</v>
      </c>
      <c r="O437">
        <v>1587995</v>
      </c>
      <c r="P437">
        <v>262045</v>
      </c>
      <c r="Q437">
        <v>75226</v>
      </c>
      <c r="R437" t="s">
        <v>1983</v>
      </c>
      <c r="S437" t="s">
        <v>2019</v>
      </c>
      <c r="T437" t="s">
        <v>2020</v>
      </c>
      <c r="U437" t="s">
        <v>2021</v>
      </c>
    </row>
    <row r="438" spans="1:21">
      <c r="A438" t="s">
        <v>1026</v>
      </c>
      <c r="B438" t="s">
        <v>31</v>
      </c>
      <c r="C438" t="s">
        <v>1027</v>
      </c>
      <c r="D438" t="s">
        <v>1028</v>
      </c>
      <c r="E438" t="s">
        <v>1982</v>
      </c>
      <c r="F438" t="s">
        <v>197</v>
      </c>
      <c r="G438" t="s">
        <v>18</v>
      </c>
      <c r="H438">
        <v>4680</v>
      </c>
      <c r="I438">
        <v>554</v>
      </c>
      <c r="J438">
        <v>239</v>
      </c>
      <c r="K438">
        <v>119</v>
      </c>
      <c r="L438">
        <v>580833421</v>
      </c>
      <c r="M438">
        <v>38257</v>
      </c>
      <c r="N438">
        <v>15182.41</v>
      </c>
      <c r="O438">
        <v>7779908</v>
      </c>
      <c r="P438">
        <v>1806674</v>
      </c>
      <c r="Q438">
        <v>3689</v>
      </c>
      <c r="R438" t="s">
        <v>1983</v>
      </c>
      <c r="S438" t="s">
        <v>2034</v>
      </c>
      <c r="T438" t="s">
        <v>3010</v>
      </c>
      <c r="U438" t="s">
        <v>3011</v>
      </c>
    </row>
    <row r="439" spans="1:21">
      <c r="A439" t="s">
        <v>814</v>
      </c>
      <c r="B439" t="s">
        <v>31</v>
      </c>
      <c r="C439" t="s">
        <v>807</v>
      </c>
      <c r="D439" t="s">
        <v>815</v>
      </c>
      <c r="E439" t="s">
        <v>1982</v>
      </c>
      <c r="F439" t="s">
        <v>197</v>
      </c>
      <c r="G439" t="s">
        <v>18</v>
      </c>
      <c r="H439">
        <v>4854</v>
      </c>
      <c r="I439">
        <v>477</v>
      </c>
      <c r="J439">
        <v>180</v>
      </c>
      <c r="K439">
        <v>81</v>
      </c>
      <c r="L439">
        <v>736774741</v>
      </c>
      <c r="M439">
        <v>1136</v>
      </c>
      <c r="N439">
        <v>648569.31000000006</v>
      </c>
      <c r="O439">
        <v>80745213</v>
      </c>
      <c r="P439">
        <v>64488131</v>
      </c>
      <c r="Q439">
        <v>44217632</v>
      </c>
      <c r="R439" t="s">
        <v>1983</v>
      </c>
      <c r="S439" t="s">
        <v>2019</v>
      </c>
      <c r="T439" t="s">
        <v>2020</v>
      </c>
      <c r="U439" t="s">
        <v>2021</v>
      </c>
    </row>
    <row r="440" spans="1:21">
      <c r="A440" t="s">
        <v>374</v>
      </c>
      <c r="B440" t="s">
        <v>31</v>
      </c>
      <c r="C440" t="s">
        <v>375</v>
      </c>
      <c r="D440" t="s">
        <v>376</v>
      </c>
      <c r="E440" t="s">
        <v>1982</v>
      </c>
      <c r="F440" t="s">
        <v>79</v>
      </c>
      <c r="G440" t="s">
        <v>18</v>
      </c>
      <c r="H440">
        <v>4551</v>
      </c>
      <c r="I440">
        <v>657</v>
      </c>
      <c r="J440">
        <v>211</v>
      </c>
      <c r="K440">
        <v>173</v>
      </c>
      <c r="L440">
        <v>1781320693</v>
      </c>
      <c r="M440">
        <v>2117</v>
      </c>
      <c r="N440">
        <v>841436.32</v>
      </c>
      <c r="O440">
        <v>32896601</v>
      </c>
      <c r="P440">
        <v>3409660</v>
      </c>
      <c r="Q440">
        <v>748716</v>
      </c>
      <c r="R440" t="s">
        <v>1983</v>
      </c>
      <c r="S440" t="s">
        <v>1984</v>
      </c>
      <c r="T440" t="s">
        <v>2002</v>
      </c>
      <c r="U440" t="s">
        <v>2524</v>
      </c>
    </row>
    <row r="441" spans="1:21">
      <c r="A441" t="s">
        <v>851</v>
      </c>
      <c r="B441" t="s">
        <v>31</v>
      </c>
      <c r="C441" t="s">
        <v>839</v>
      </c>
      <c r="D441" t="s">
        <v>852</v>
      </c>
      <c r="E441" t="s">
        <v>1982</v>
      </c>
      <c r="F441" t="s">
        <v>31</v>
      </c>
      <c r="G441" t="s">
        <v>18</v>
      </c>
      <c r="H441">
        <v>4889</v>
      </c>
      <c r="I441">
        <v>407</v>
      </c>
      <c r="J441">
        <v>199</v>
      </c>
      <c r="K441">
        <v>97</v>
      </c>
      <c r="L441">
        <v>339176937</v>
      </c>
      <c r="M441">
        <v>3819</v>
      </c>
      <c r="N441">
        <v>88813.02</v>
      </c>
      <c r="O441">
        <v>39866532</v>
      </c>
      <c r="P441">
        <v>27785585</v>
      </c>
      <c r="Q441">
        <v>20731201</v>
      </c>
      <c r="R441" t="s">
        <v>1983</v>
      </c>
      <c r="S441" t="s">
        <v>2019</v>
      </c>
      <c r="T441" t="s">
        <v>2020</v>
      </c>
      <c r="U441" t="s">
        <v>2021</v>
      </c>
    </row>
    <row r="442" spans="1:21">
      <c r="A442" t="s">
        <v>1143</v>
      </c>
      <c r="B442" t="s">
        <v>31</v>
      </c>
      <c r="C442" t="s">
        <v>1144</v>
      </c>
      <c r="D442" t="s">
        <v>1145</v>
      </c>
      <c r="E442" t="s">
        <v>1982</v>
      </c>
      <c r="F442" t="s">
        <v>204</v>
      </c>
      <c r="G442" t="s">
        <v>18</v>
      </c>
      <c r="H442">
        <v>1908</v>
      </c>
      <c r="I442">
        <v>1521</v>
      </c>
      <c r="J442">
        <v>2090</v>
      </c>
      <c r="K442">
        <v>73</v>
      </c>
      <c r="L442">
        <v>1522082065</v>
      </c>
      <c r="M442">
        <v>1383397</v>
      </c>
      <c r="N442">
        <v>1100.25</v>
      </c>
      <c r="O442">
        <v>30243</v>
      </c>
      <c r="P442">
        <v>2099</v>
      </c>
      <c r="Q442">
        <v>406</v>
      </c>
      <c r="R442" t="s">
        <v>1992</v>
      </c>
      <c r="S442" t="s">
        <v>2012</v>
      </c>
      <c r="T442" t="s">
        <v>2032</v>
      </c>
      <c r="U442" t="s">
        <v>2033</v>
      </c>
    </row>
    <row r="443" spans="1:21">
      <c r="A443" t="s">
        <v>494</v>
      </c>
      <c r="B443" t="s">
        <v>31</v>
      </c>
      <c r="C443" t="s">
        <v>495</v>
      </c>
      <c r="D443" t="s">
        <v>496</v>
      </c>
      <c r="E443" t="s">
        <v>1987</v>
      </c>
      <c r="F443" t="s">
        <v>497</v>
      </c>
      <c r="G443" t="s">
        <v>18</v>
      </c>
      <c r="H443">
        <v>1003</v>
      </c>
      <c r="I443">
        <v>4091</v>
      </c>
      <c r="J443">
        <v>453</v>
      </c>
      <c r="K443">
        <v>45</v>
      </c>
      <c r="L443">
        <v>607317615</v>
      </c>
      <c r="M443">
        <v>13883</v>
      </c>
      <c r="N443">
        <v>43745.42</v>
      </c>
      <c r="O443">
        <v>659152</v>
      </c>
      <c r="P443">
        <v>116204</v>
      </c>
      <c r="Q443">
        <v>30228</v>
      </c>
      <c r="R443" t="s">
        <v>1992</v>
      </c>
      <c r="S443" t="s">
        <v>2012</v>
      </c>
      <c r="T443" t="s">
        <v>2631</v>
      </c>
      <c r="U443" t="s">
        <v>2632</v>
      </c>
    </row>
    <row r="444" spans="1:21">
      <c r="A444" t="s">
        <v>331</v>
      </c>
      <c r="B444" t="s">
        <v>31</v>
      </c>
      <c r="C444" t="s">
        <v>332</v>
      </c>
      <c r="D444" t="s">
        <v>333</v>
      </c>
      <c r="E444" t="s">
        <v>1987</v>
      </c>
      <c r="F444" t="s">
        <v>79</v>
      </c>
      <c r="G444" t="s">
        <v>18</v>
      </c>
      <c r="H444">
        <v>5379</v>
      </c>
      <c r="I444">
        <v>177</v>
      </c>
      <c r="J444">
        <v>21</v>
      </c>
      <c r="K444">
        <v>15</v>
      </c>
      <c r="L444">
        <v>1615469127</v>
      </c>
      <c r="M444">
        <v>2012</v>
      </c>
      <c r="N444">
        <v>802917.06</v>
      </c>
      <c r="O444">
        <v>174202866</v>
      </c>
      <c r="P444">
        <v>148397812</v>
      </c>
      <c r="Q444">
        <v>128899141</v>
      </c>
      <c r="R444" t="s">
        <v>1992</v>
      </c>
      <c r="S444" t="s">
        <v>1993</v>
      </c>
      <c r="T444" t="s">
        <v>1994</v>
      </c>
      <c r="U444" t="s">
        <v>2446</v>
      </c>
    </row>
    <row r="445" spans="1:21">
      <c r="A445" t="s">
        <v>338</v>
      </c>
      <c r="B445" t="s">
        <v>31</v>
      </c>
      <c r="C445" t="s">
        <v>339</v>
      </c>
      <c r="D445" t="s">
        <v>340</v>
      </c>
      <c r="E445" t="s">
        <v>1987</v>
      </c>
      <c r="F445" t="s">
        <v>341</v>
      </c>
      <c r="G445" t="s">
        <v>18</v>
      </c>
      <c r="H445">
        <v>4986</v>
      </c>
      <c r="I445">
        <v>554</v>
      </c>
      <c r="J445">
        <v>29</v>
      </c>
      <c r="K445">
        <v>23</v>
      </c>
      <c r="L445">
        <v>1731458735</v>
      </c>
      <c r="M445">
        <v>1233</v>
      </c>
      <c r="N445">
        <v>1404264.99</v>
      </c>
      <c r="O445">
        <v>190792110</v>
      </c>
      <c r="P445">
        <v>161246920</v>
      </c>
      <c r="Q445">
        <v>135077776</v>
      </c>
      <c r="R445" t="s">
        <v>1992</v>
      </c>
      <c r="S445" t="s">
        <v>1993</v>
      </c>
      <c r="T445" t="s">
        <v>1994</v>
      </c>
      <c r="U445" t="s">
        <v>2446</v>
      </c>
    </row>
    <row r="446" spans="1:21">
      <c r="A446" t="s">
        <v>774</v>
      </c>
      <c r="B446" t="s">
        <v>31</v>
      </c>
      <c r="C446" t="s">
        <v>775</v>
      </c>
      <c r="D446" t="s">
        <v>776</v>
      </c>
      <c r="E446" t="s">
        <v>1982</v>
      </c>
      <c r="F446" t="s">
        <v>777</v>
      </c>
      <c r="G446" t="s">
        <v>18</v>
      </c>
      <c r="H446">
        <v>4037</v>
      </c>
      <c r="I446">
        <v>826</v>
      </c>
      <c r="J446">
        <v>535</v>
      </c>
      <c r="K446">
        <v>194</v>
      </c>
      <c r="L446">
        <v>371348348</v>
      </c>
      <c r="M446">
        <v>1009</v>
      </c>
      <c r="N446">
        <v>368036.02</v>
      </c>
      <c r="O446">
        <v>47172414</v>
      </c>
      <c r="P446">
        <v>33924873</v>
      </c>
      <c r="Q446">
        <v>19397591</v>
      </c>
      <c r="R446" t="s">
        <v>1983</v>
      </c>
      <c r="S446" t="s">
        <v>2019</v>
      </c>
      <c r="T446" t="s">
        <v>2020</v>
      </c>
      <c r="U446" t="s">
        <v>2021</v>
      </c>
    </row>
    <row r="447" spans="1:21">
      <c r="A447" t="s">
        <v>2770</v>
      </c>
      <c r="B447" t="s">
        <v>2770</v>
      </c>
      <c r="C447" t="s">
        <v>2771</v>
      </c>
      <c r="D447" t="s">
        <v>2772</v>
      </c>
      <c r="E447" t="s">
        <v>1982</v>
      </c>
      <c r="F447" t="s">
        <v>204</v>
      </c>
      <c r="G447" t="s">
        <v>1991</v>
      </c>
      <c r="H447">
        <v>2657</v>
      </c>
      <c r="I447">
        <v>1404</v>
      </c>
      <c r="J447">
        <v>1527</v>
      </c>
      <c r="K447">
        <v>4</v>
      </c>
      <c r="L447">
        <v>1695085699</v>
      </c>
      <c r="M447">
        <v>2585800</v>
      </c>
      <c r="N447">
        <v>655.54</v>
      </c>
      <c r="O447">
        <v>54970</v>
      </c>
      <c r="P447">
        <v>1274</v>
      </c>
      <c r="Q447">
        <v>259</v>
      </c>
      <c r="R447" t="s">
        <v>1992</v>
      </c>
      <c r="S447" t="s">
        <v>1993</v>
      </c>
      <c r="T447" t="s">
        <v>1994</v>
      </c>
      <c r="U447" t="s">
        <v>1998</v>
      </c>
    </row>
    <row r="448" spans="1:21">
      <c r="A448" t="s">
        <v>2818</v>
      </c>
      <c r="B448" t="s">
        <v>2818</v>
      </c>
      <c r="C448" t="s">
        <v>2819</v>
      </c>
      <c r="D448" t="s">
        <v>2820</v>
      </c>
      <c r="E448" t="s">
        <v>1987</v>
      </c>
      <c r="F448" t="s">
        <v>204</v>
      </c>
      <c r="G448" t="s">
        <v>1991</v>
      </c>
      <c r="H448">
        <v>2632</v>
      </c>
      <c r="I448">
        <v>1430</v>
      </c>
      <c r="J448">
        <v>1526</v>
      </c>
      <c r="K448">
        <v>4</v>
      </c>
      <c r="L448">
        <v>1320147071</v>
      </c>
      <c r="M448">
        <v>1977150</v>
      </c>
      <c r="N448">
        <v>667.7</v>
      </c>
      <c r="O448">
        <v>51277</v>
      </c>
      <c r="P448">
        <v>1192</v>
      </c>
      <c r="Q448">
        <v>273</v>
      </c>
      <c r="R448" t="s">
        <v>1992</v>
      </c>
      <c r="S448" t="s">
        <v>1993</v>
      </c>
      <c r="T448" t="s">
        <v>1994</v>
      </c>
      <c r="U448" t="s">
        <v>1998</v>
      </c>
    </row>
    <row r="449" spans="1:21">
      <c r="A449" t="s">
        <v>3282</v>
      </c>
      <c r="B449" t="s">
        <v>3282</v>
      </c>
      <c r="C449" t="s">
        <v>3277</v>
      </c>
      <c r="D449" t="s">
        <v>3283</v>
      </c>
      <c r="E449" t="s">
        <v>1982</v>
      </c>
      <c r="F449" t="s">
        <v>204</v>
      </c>
      <c r="G449" t="s">
        <v>1991</v>
      </c>
      <c r="H449">
        <v>1135</v>
      </c>
      <c r="I449">
        <v>2456</v>
      </c>
      <c r="J449">
        <v>1999</v>
      </c>
      <c r="K449">
        <v>2</v>
      </c>
      <c r="L449">
        <v>5448081247</v>
      </c>
      <c r="M449">
        <v>9163900</v>
      </c>
      <c r="N449">
        <v>594.52</v>
      </c>
      <c r="O449">
        <v>39936</v>
      </c>
      <c r="P449">
        <v>805</v>
      </c>
      <c r="Q449">
        <v>272</v>
      </c>
      <c r="R449" t="s">
        <v>1992</v>
      </c>
      <c r="S449" t="s">
        <v>1993</v>
      </c>
      <c r="T449" t="s">
        <v>1994</v>
      </c>
      <c r="U449" t="s">
        <v>1998</v>
      </c>
    </row>
    <row r="450" spans="1:21">
      <c r="A450" t="s">
        <v>3262</v>
      </c>
      <c r="B450" t="s">
        <v>3262</v>
      </c>
      <c r="C450" t="s">
        <v>3263</v>
      </c>
      <c r="D450" t="s">
        <v>3264</v>
      </c>
      <c r="E450" t="s">
        <v>1982</v>
      </c>
      <c r="F450" t="s">
        <v>204</v>
      </c>
      <c r="G450" t="s">
        <v>1991</v>
      </c>
      <c r="H450">
        <v>1247</v>
      </c>
      <c r="I450">
        <v>2189</v>
      </c>
      <c r="J450">
        <v>2155</v>
      </c>
      <c r="K450">
        <v>1</v>
      </c>
      <c r="L450">
        <v>4487510142</v>
      </c>
      <c r="M450">
        <v>6454915</v>
      </c>
      <c r="N450">
        <v>695.21</v>
      </c>
      <c r="O450">
        <v>42943</v>
      </c>
      <c r="P450">
        <v>1206</v>
      </c>
      <c r="Q450">
        <v>283</v>
      </c>
      <c r="R450" t="s">
        <v>1992</v>
      </c>
      <c r="S450" t="s">
        <v>1993</v>
      </c>
      <c r="T450" t="s">
        <v>1994</v>
      </c>
      <c r="U450" t="s">
        <v>1998</v>
      </c>
    </row>
    <row r="451" spans="1:21">
      <c r="A451" t="s">
        <v>2246</v>
      </c>
      <c r="B451" t="s">
        <v>2246</v>
      </c>
      <c r="C451" t="s">
        <v>2247</v>
      </c>
      <c r="D451" t="s">
        <v>2248</v>
      </c>
      <c r="E451" t="s">
        <v>1982</v>
      </c>
      <c r="F451" t="s">
        <v>204</v>
      </c>
      <c r="G451" t="s">
        <v>1991</v>
      </c>
      <c r="H451">
        <v>4405</v>
      </c>
      <c r="I451">
        <v>141</v>
      </c>
      <c r="J451">
        <v>1043</v>
      </c>
      <c r="K451">
        <v>3</v>
      </c>
      <c r="L451">
        <v>1244255519</v>
      </c>
      <c r="M451">
        <v>1874914</v>
      </c>
      <c r="N451">
        <v>663.63</v>
      </c>
      <c r="O451">
        <v>53344</v>
      </c>
      <c r="P451">
        <v>941</v>
      </c>
      <c r="Q451">
        <v>291</v>
      </c>
      <c r="R451" t="s">
        <v>1992</v>
      </c>
      <c r="S451" t="s">
        <v>1993</v>
      </c>
      <c r="T451" t="s">
        <v>1994</v>
      </c>
      <c r="U451" t="s">
        <v>1998</v>
      </c>
    </row>
    <row r="452" spans="1:21">
      <c r="A452" t="s">
        <v>3184</v>
      </c>
      <c r="B452" t="s">
        <v>3184</v>
      </c>
      <c r="C452" t="s">
        <v>3185</v>
      </c>
      <c r="D452" t="s">
        <v>3186</v>
      </c>
      <c r="E452" t="s">
        <v>1982</v>
      </c>
      <c r="F452" t="s">
        <v>204</v>
      </c>
      <c r="G452" t="s">
        <v>1991</v>
      </c>
      <c r="H452">
        <v>1748</v>
      </c>
      <c r="I452">
        <v>2220</v>
      </c>
      <c r="J452">
        <v>1622</v>
      </c>
      <c r="K452">
        <v>2</v>
      </c>
      <c r="L452">
        <v>3896102769</v>
      </c>
      <c r="M452">
        <v>6578644</v>
      </c>
      <c r="N452">
        <v>592.23</v>
      </c>
      <c r="O452">
        <v>47928</v>
      </c>
      <c r="P452">
        <v>689</v>
      </c>
      <c r="Q452">
        <v>304</v>
      </c>
      <c r="R452" t="s">
        <v>1992</v>
      </c>
      <c r="S452" t="s">
        <v>1993</v>
      </c>
      <c r="T452" t="s">
        <v>1994</v>
      </c>
      <c r="U452" t="s">
        <v>1998</v>
      </c>
    </row>
    <row r="453" spans="1:21">
      <c r="A453" t="s">
        <v>2846</v>
      </c>
      <c r="B453" t="s">
        <v>2846</v>
      </c>
      <c r="C453" t="s">
        <v>2847</v>
      </c>
      <c r="D453" t="s">
        <v>2848</v>
      </c>
      <c r="E453" t="s">
        <v>1982</v>
      </c>
      <c r="F453" t="s">
        <v>204</v>
      </c>
      <c r="G453" t="s">
        <v>1991</v>
      </c>
      <c r="H453">
        <v>2409</v>
      </c>
      <c r="I453">
        <v>1625</v>
      </c>
      <c r="J453">
        <v>1554</v>
      </c>
      <c r="K453">
        <v>4</v>
      </c>
      <c r="L453">
        <v>2253407739</v>
      </c>
      <c r="M453">
        <v>3679648</v>
      </c>
      <c r="N453">
        <v>612.4</v>
      </c>
      <c r="O453">
        <v>72027</v>
      </c>
      <c r="P453">
        <v>877</v>
      </c>
      <c r="Q453">
        <v>269</v>
      </c>
      <c r="R453" t="s">
        <v>1992</v>
      </c>
      <c r="S453" t="s">
        <v>1993</v>
      </c>
      <c r="T453" t="s">
        <v>1994</v>
      </c>
      <c r="U453" t="s">
        <v>1998</v>
      </c>
    </row>
    <row r="454" spans="1:21">
      <c r="A454" t="s">
        <v>2791</v>
      </c>
      <c r="B454" t="s">
        <v>2791</v>
      </c>
      <c r="C454" t="s">
        <v>2792</v>
      </c>
      <c r="D454" t="s">
        <v>2793</v>
      </c>
      <c r="E454" t="s">
        <v>1987</v>
      </c>
      <c r="F454" t="s">
        <v>204</v>
      </c>
      <c r="G454" t="s">
        <v>1991</v>
      </c>
      <c r="H454">
        <v>2699</v>
      </c>
      <c r="I454">
        <v>1299</v>
      </c>
      <c r="J454">
        <v>1589</v>
      </c>
      <c r="K454">
        <v>5</v>
      </c>
      <c r="L454">
        <v>1294504809</v>
      </c>
      <c r="M454">
        <v>1968916</v>
      </c>
      <c r="N454">
        <v>657.47</v>
      </c>
      <c r="O454">
        <v>46715</v>
      </c>
      <c r="P454">
        <v>1078</v>
      </c>
      <c r="Q454">
        <v>275</v>
      </c>
      <c r="R454" t="s">
        <v>1992</v>
      </c>
      <c r="S454" t="s">
        <v>1993</v>
      </c>
      <c r="T454" t="s">
        <v>1994</v>
      </c>
      <c r="U454" t="s">
        <v>1998</v>
      </c>
    </row>
    <row r="455" spans="1:21">
      <c r="A455" t="s">
        <v>2656</v>
      </c>
      <c r="B455" t="s">
        <v>2656</v>
      </c>
      <c r="C455" t="s">
        <v>2657</v>
      </c>
      <c r="D455" t="s">
        <v>2658</v>
      </c>
      <c r="E455" t="s">
        <v>1982</v>
      </c>
      <c r="F455" t="s">
        <v>204</v>
      </c>
      <c r="G455" t="s">
        <v>1991</v>
      </c>
      <c r="H455">
        <v>2702</v>
      </c>
      <c r="I455">
        <v>1376</v>
      </c>
      <c r="J455">
        <v>1508</v>
      </c>
      <c r="K455">
        <v>6</v>
      </c>
      <c r="L455">
        <v>2392090224</v>
      </c>
      <c r="M455">
        <v>4920278</v>
      </c>
      <c r="N455">
        <v>486.17</v>
      </c>
      <c r="O455">
        <v>65551</v>
      </c>
      <c r="P455">
        <v>539</v>
      </c>
      <c r="Q455">
        <v>230</v>
      </c>
      <c r="R455" t="s">
        <v>1992</v>
      </c>
      <c r="S455" t="s">
        <v>1993</v>
      </c>
      <c r="T455" t="s">
        <v>1994</v>
      </c>
      <c r="U455" t="s">
        <v>1995</v>
      </c>
    </row>
    <row r="456" spans="1:21">
      <c r="A456" t="s">
        <v>3541</v>
      </c>
      <c r="B456" t="s">
        <v>3541</v>
      </c>
      <c r="C456" t="s">
        <v>3539</v>
      </c>
      <c r="D456" t="s">
        <v>3542</v>
      </c>
      <c r="E456" t="s">
        <v>1987</v>
      </c>
      <c r="F456" t="s">
        <v>204</v>
      </c>
      <c r="G456" t="s">
        <v>1991</v>
      </c>
      <c r="H456">
        <v>3404</v>
      </c>
      <c r="I456">
        <v>922</v>
      </c>
      <c r="J456">
        <v>1265</v>
      </c>
      <c r="K456">
        <v>1</v>
      </c>
      <c r="L456">
        <v>3129358943</v>
      </c>
      <c r="M456">
        <v>6042451</v>
      </c>
      <c r="N456">
        <v>517.9</v>
      </c>
      <c r="O456">
        <v>78087</v>
      </c>
      <c r="P456">
        <v>588</v>
      </c>
      <c r="Q456">
        <v>252</v>
      </c>
      <c r="R456" t="s">
        <v>1992</v>
      </c>
      <c r="S456" t="s">
        <v>1993</v>
      </c>
      <c r="T456" t="s">
        <v>1994</v>
      </c>
      <c r="U456" t="s">
        <v>3460</v>
      </c>
    </row>
    <row r="457" spans="1:21">
      <c r="A457" t="s">
        <v>2167</v>
      </c>
      <c r="B457" t="s">
        <v>31</v>
      </c>
      <c r="C457" t="s">
        <v>2168</v>
      </c>
      <c r="D457" t="s">
        <v>2169</v>
      </c>
      <c r="E457" t="s">
        <v>1982</v>
      </c>
      <c r="F457" t="s">
        <v>71</v>
      </c>
      <c r="G457" t="s">
        <v>1991</v>
      </c>
      <c r="H457">
        <v>5345</v>
      </c>
      <c r="I457">
        <v>236</v>
      </c>
      <c r="J457">
        <v>8</v>
      </c>
      <c r="K457">
        <v>3</v>
      </c>
      <c r="L457">
        <v>905672792</v>
      </c>
      <c r="M457">
        <v>29</v>
      </c>
      <c r="N457">
        <v>31230096.280000001</v>
      </c>
      <c r="O457">
        <v>114651283</v>
      </c>
      <c r="P457">
        <v>91038762</v>
      </c>
      <c r="Q457">
        <v>72611426</v>
      </c>
      <c r="R457" t="s">
        <v>1992</v>
      </c>
      <c r="S457" t="s">
        <v>1993</v>
      </c>
      <c r="T457" t="s">
        <v>1994</v>
      </c>
      <c r="U457" t="s">
        <v>1998</v>
      </c>
    </row>
    <row r="458" spans="1:21">
      <c r="A458" t="s">
        <v>1530</v>
      </c>
      <c r="B458" t="s">
        <v>31</v>
      </c>
      <c r="C458" t="s">
        <v>1531</v>
      </c>
      <c r="D458" t="s">
        <v>2059</v>
      </c>
      <c r="E458" t="s">
        <v>1987</v>
      </c>
      <c r="F458" t="s">
        <v>1533</v>
      </c>
      <c r="G458" t="s">
        <v>1376</v>
      </c>
      <c r="H458">
        <v>2237</v>
      </c>
      <c r="I458">
        <v>1390</v>
      </c>
      <c r="J458">
        <v>1773</v>
      </c>
      <c r="K458">
        <v>192</v>
      </c>
      <c r="L458">
        <v>8013691797</v>
      </c>
      <c r="M458">
        <v>11988557</v>
      </c>
      <c r="N458">
        <v>668.45</v>
      </c>
      <c r="O458">
        <v>73429</v>
      </c>
      <c r="P458">
        <v>1041</v>
      </c>
      <c r="Q458">
        <v>282</v>
      </c>
      <c r="R458" t="s">
        <v>1983</v>
      </c>
      <c r="S458" t="s">
        <v>1984</v>
      </c>
      <c r="T458" t="s">
        <v>2002</v>
      </c>
      <c r="U458" t="s">
        <v>2003</v>
      </c>
    </row>
    <row r="459" spans="1:21">
      <c r="A459" t="s">
        <v>129</v>
      </c>
      <c r="B459" t="s">
        <v>31</v>
      </c>
      <c r="C459" t="s">
        <v>130</v>
      </c>
      <c r="D459" t="s">
        <v>131</v>
      </c>
      <c r="E459" t="s">
        <v>1987</v>
      </c>
      <c r="F459" t="s">
        <v>31</v>
      </c>
      <c r="G459" t="s">
        <v>18</v>
      </c>
      <c r="H459">
        <v>4529</v>
      </c>
      <c r="I459">
        <v>623</v>
      </c>
      <c r="J459">
        <v>258</v>
      </c>
      <c r="K459">
        <v>182</v>
      </c>
      <c r="L459">
        <v>3685054491</v>
      </c>
      <c r="M459">
        <v>2195</v>
      </c>
      <c r="N459">
        <v>1678840.31</v>
      </c>
      <c r="O459">
        <v>577845554</v>
      </c>
      <c r="P459">
        <v>513237590</v>
      </c>
      <c r="Q459">
        <v>448178421</v>
      </c>
      <c r="R459" t="s">
        <v>1983</v>
      </c>
      <c r="S459" t="s">
        <v>1984</v>
      </c>
      <c r="T459" t="s">
        <v>2002</v>
      </c>
      <c r="U459" t="s">
        <v>2003</v>
      </c>
    </row>
    <row r="460" spans="1:21">
      <c r="A460" t="s">
        <v>1543</v>
      </c>
      <c r="B460" t="s">
        <v>31</v>
      </c>
      <c r="C460" t="s">
        <v>1544</v>
      </c>
      <c r="D460" t="s">
        <v>2059</v>
      </c>
      <c r="E460" t="s">
        <v>1987</v>
      </c>
      <c r="F460" t="s">
        <v>204</v>
      </c>
      <c r="G460" t="s">
        <v>1376</v>
      </c>
      <c r="H460">
        <v>4378</v>
      </c>
      <c r="I460">
        <v>567</v>
      </c>
      <c r="J460">
        <v>460</v>
      </c>
      <c r="K460">
        <v>187</v>
      </c>
      <c r="L460">
        <v>3904260980</v>
      </c>
      <c r="M460">
        <v>5542525</v>
      </c>
      <c r="N460">
        <v>704.42</v>
      </c>
      <c r="O460">
        <v>89699</v>
      </c>
      <c r="P460">
        <v>1226</v>
      </c>
      <c r="Q460">
        <v>279</v>
      </c>
      <c r="R460" t="s">
        <v>1983</v>
      </c>
      <c r="S460" t="s">
        <v>1984</v>
      </c>
      <c r="T460" t="s">
        <v>2002</v>
      </c>
      <c r="U460" t="s">
        <v>2003</v>
      </c>
    </row>
    <row r="461" spans="1:21">
      <c r="A461" t="s">
        <v>1554</v>
      </c>
      <c r="B461" t="s">
        <v>31</v>
      </c>
      <c r="C461" t="s">
        <v>1555</v>
      </c>
      <c r="D461" t="s">
        <v>2059</v>
      </c>
      <c r="E461" t="s">
        <v>1987</v>
      </c>
      <c r="F461" t="s">
        <v>204</v>
      </c>
      <c r="G461" t="s">
        <v>1376</v>
      </c>
      <c r="H461">
        <v>4196</v>
      </c>
      <c r="I461">
        <v>773</v>
      </c>
      <c r="J461">
        <v>435</v>
      </c>
      <c r="K461">
        <v>188</v>
      </c>
      <c r="L461">
        <v>5211015137</v>
      </c>
      <c r="M461">
        <v>8000150</v>
      </c>
      <c r="N461">
        <v>651.36</v>
      </c>
      <c r="O461">
        <v>104757</v>
      </c>
      <c r="P461">
        <v>1004</v>
      </c>
      <c r="Q461">
        <v>262</v>
      </c>
      <c r="R461" t="s">
        <v>1983</v>
      </c>
      <c r="S461" t="s">
        <v>1984</v>
      </c>
      <c r="T461" t="s">
        <v>2002</v>
      </c>
      <c r="U461" t="s">
        <v>2003</v>
      </c>
    </row>
    <row r="462" spans="1:21">
      <c r="A462" t="s">
        <v>1562</v>
      </c>
      <c r="B462" t="s">
        <v>31</v>
      </c>
      <c r="C462" t="s">
        <v>1563</v>
      </c>
      <c r="D462" t="s">
        <v>2059</v>
      </c>
      <c r="E462" t="s">
        <v>1987</v>
      </c>
      <c r="F462" t="s">
        <v>204</v>
      </c>
      <c r="G462" t="s">
        <v>1376</v>
      </c>
      <c r="H462">
        <v>2116</v>
      </c>
      <c r="I462">
        <v>1178</v>
      </c>
      <c r="J462">
        <v>2107</v>
      </c>
      <c r="K462">
        <v>191</v>
      </c>
      <c r="L462">
        <v>11133204572</v>
      </c>
      <c r="M462">
        <v>18057275</v>
      </c>
      <c r="N462">
        <v>616.54999999999995</v>
      </c>
      <c r="O462">
        <v>91885</v>
      </c>
      <c r="P462">
        <v>838</v>
      </c>
      <c r="Q462">
        <v>276</v>
      </c>
      <c r="R462" t="s">
        <v>1983</v>
      </c>
      <c r="S462" t="s">
        <v>1984</v>
      </c>
      <c r="T462" t="s">
        <v>2002</v>
      </c>
      <c r="U462" t="s">
        <v>2003</v>
      </c>
    </row>
    <row r="463" spans="1:21">
      <c r="A463" t="s">
        <v>136</v>
      </c>
      <c r="B463" t="s">
        <v>31</v>
      </c>
      <c r="C463" t="s">
        <v>137</v>
      </c>
      <c r="D463" t="s">
        <v>138</v>
      </c>
      <c r="E463" t="s">
        <v>1987</v>
      </c>
      <c r="F463" t="s">
        <v>31</v>
      </c>
      <c r="G463" t="s">
        <v>18</v>
      </c>
      <c r="H463">
        <v>4518</v>
      </c>
      <c r="I463">
        <v>638</v>
      </c>
      <c r="J463">
        <v>254</v>
      </c>
      <c r="K463">
        <v>182</v>
      </c>
      <c r="L463">
        <v>3777787481</v>
      </c>
      <c r="M463">
        <v>2652</v>
      </c>
      <c r="N463">
        <v>1424505.08</v>
      </c>
      <c r="O463">
        <v>588203704</v>
      </c>
      <c r="P463">
        <v>534821622</v>
      </c>
      <c r="Q463">
        <v>455803086</v>
      </c>
      <c r="R463" t="s">
        <v>1983</v>
      </c>
      <c r="S463" t="s">
        <v>1984</v>
      </c>
      <c r="T463" t="s">
        <v>2002</v>
      </c>
      <c r="U463" t="s">
        <v>2003</v>
      </c>
    </row>
    <row r="464" spans="1:21">
      <c r="A464" t="s">
        <v>1579</v>
      </c>
      <c r="B464" t="s">
        <v>31</v>
      </c>
      <c r="C464" t="s">
        <v>1580</v>
      </c>
      <c r="D464" t="s">
        <v>2059</v>
      </c>
      <c r="E464" t="s">
        <v>1987</v>
      </c>
      <c r="F464" t="s">
        <v>204</v>
      </c>
      <c r="G464" t="s">
        <v>1376</v>
      </c>
      <c r="H464">
        <v>2794</v>
      </c>
      <c r="I464">
        <v>1080</v>
      </c>
      <c r="J464">
        <v>1525</v>
      </c>
      <c r="K464">
        <v>193</v>
      </c>
      <c r="L464">
        <v>7757019154</v>
      </c>
      <c r="M464">
        <v>13184688</v>
      </c>
      <c r="N464">
        <v>588.34</v>
      </c>
      <c r="O464">
        <v>58633</v>
      </c>
      <c r="P464">
        <v>780</v>
      </c>
      <c r="Q464">
        <v>263</v>
      </c>
      <c r="R464" t="s">
        <v>1983</v>
      </c>
      <c r="S464" t="s">
        <v>1984</v>
      </c>
      <c r="T464" t="s">
        <v>2002</v>
      </c>
      <c r="U464" t="s">
        <v>2003</v>
      </c>
    </row>
    <row r="465" spans="1:21">
      <c r="A465" t="s">
        <v>151</v>
      </c>
      <c r="B465" t="s">
        <v>31</v>
      </c>
      <c r="C465" t="s">
        <v>144</v>
      </c>
      <c r="D465" t="s">
        <v>31</v>
      </c>
      <c r="E465" t="s">
        <v>1987</v>
      </c>
      <c r="F465" t="s">
        <v>31</v>
      </c>
      <c r="G465" t="s">
        <v>18</v>
      </c>
      <c r="H465">
        <v>29</v>
      </c>
      <c r="I465">
        <v>5216</v>
      </c>
      <c r="J465">
        <v>195</v>
      </c>
      <c r="K465">
        <v>152</v>
      </c>
      <c r="L465">
        <v>14179720031</v>
      </c>
      <c r="M465">
        <v>6537</v>
      </c>
      <c r="N465">
        <v>2169147.9300000002</v>
      </c>
      <c r="O465">
        <v>616320322</v>
      </c>
      <c r="P465">
        <v>123034442</v>
      </c>
      <c r="Q465">
        <v>1377649</v>
      </c>
      <c r="R465" t="s">
        <v>1983</v>
      </c>
      <c r="S465" t="s">
        <v>1984</v>
      </c>
      <c r="T465" t="s">
        <v>2002</v>
      </c>
      <c r="U465" t="s">
        <v>2003</v>
      </c>
    </row>
    <row r="466" spans="1:21">
      <c r="A466" t="s">
        <v>163</v>
      </c>
      <c r="B466" t="s">
        <v>31</v>
      </c>
      <c r="C466" t="s">
        <v>157</v>
      </c>
      <c r="D466" t="s">
        <v>164</v>
      </c>
      <c r="E466" t="s">
        <v>1987</v>
      </c>
      <c r="F466" t="s">
        <v>31</v>
      </c>
      <c r="G466" t="s">
        <v>18</v>
      </c>
      <c r="H466">
        <v>43</v>
      </c>
      <c r="I466">
        <v>5123</v>
      </c>
      <c r="J466">
        <v>237</v>
      </c>
      <c r="K466">
        <v>189</v>
      </c>
      <c r="L466">
        <v>7395709204</v>
      </c>
      <c r="M466">
        <v>890</v>
      </c>
      <c r="N466">
        <v>8309785.6200000001</v>
      </c>
      <c r="O466">
        <v>582703961</v>
      </c>
      <c r="P466">
        <v>217137152</v>
      </c>
      <c r="Q466">
        <v>11449928</v>
      </c>
      <c r="R466" t="s">
        <v>1983</v>
      </c>
      <c r="S466" t="s">
        <v>1984</v>
      </c>
      <c r="T466" t="s">
        <v>2002</v>
      </c>
      <c r="U466" t="s">
        <v>2003</v>
      </c>
    </row>
    <row r="467" spans="1:21">
      <c r="A467" t="s">
        <v>1596</v>
      </c>
      <c r="B467" t="s">
        <v>31</v>
      </c>
      <c r="C467" t="s">
        <v>1597</v>
      </c>
      <c r="D467" t="s">
        <v>2059</v>
      </c>
      <c r="E467" t="s">
        <v>1987</v>
      </c>
      <c r="F467" t="s">
        <v>204</v>
      </c>
      <c r="G467" t="s">
        <v>1376</v>
      </c>
      <c r="H467">
        <v>2522</v>
      </c>
      <c r="I467">
        <v>1084</v>
      </c>
      <c r="J467">
        <v>1793</v>
      </c>
      <c r="K467">
        <v>193</v>
      </c>
      <c r="L467">
        <v>11149053230</v>
      </c>
      <c r="M467">
        <v>21503995</v>
      </c>
      <c r="N467">
        <v>518.46</v>
      </c>
      <c r="O467">
        <v>58589</v>
      </c>
      <c r="P467">
        <v>608</v>
      </c>
      <c r="Q467">
        <v>255</v>
      </c>
      <c r="R467" t="s">
        <v>1983</v>
      </c>
      <c r="S467" t="s">
        <v>1984</v>
      </c>
      <c r="T467" t="s">
        <v>2002</v>
      </c>
      <c r="U467" t="s">
        <v>2003</v>
      </c>
    </row>
    <row r="468" spans="1:21">
      <c r="A468" t="s">
        <v>182</v>
      </c>
      <c r="B468" t="s">
        <v>31</v>
      </c>
      <c r="C468" t="s">
        <v>170</v>
      </c>
      <c r="D468" t="s">
        <v>183</v>
      </c>
      <c r="E468" t="s">
        <v>1987</v>
      </c>
      <c r="F468" t="s">
        <v>31</v>
      </c>
      <c r="G468" t="s">
        <v>18</v>
      </c>
      <c r="H468">
        <v>260</v>
      </c>
      <c r="I468">
        <v>4977</v>
      </c>
      <c r="J468">
        <v>208</v>
      </c>
      <c r="K468">
        <v>147</v>
      </c>
      <c r="L468">
        <v>10958296824</v>
      </c>
      <c r="M468">
        <v>529781</v>
      </c>
      <c r="N468">
        <v>20684.580000000002</v>
      </c>
      <c r="O468">
        <v>667652801</v>
      </c>
      <c r="P468">
        <v>489887590</v>
      </c>
      <c r="Q468">
        <v>409103995</v>
      </c>
      <c r="R468" t="s">
        <v>1983</v>
      </c>
      <c r="S468" t="s">
        <v>1984</v>
      </c>
      <c r="T468" t="s">
        <v>2002</v>
      </c>
      <c r="U468" t="s">
        <v>2003</v>
      </c>
    </row>
    <row r="469" spans="1:21">
      <c r="A469" t="s">
        <v>1615</v>
      </c>
      <c r="B469" t="s">
        <v>31</v>
      </c>
      <c r="C469" t="s">
        <v>1616</v>
      </c>
      <c r="D469" t="s">
        <v>2059</v>
      </c>
      <c r="E469" t="s">
        <v>1987</v>
      </c>
      <c r="F469" t="s">
        <v>204</v>
      </c>
      <c r="G469" t="s">
        <v>1376</v>
      </c>
      <c r="H469">
        <v>2634</v>
      </c>
      <c r="I469">
        <v>1129</v>
      </c>
      <c r="J469">
        <v>1634</v>
      </c>
      <c r="K469">
        <v>195</v>
      </c>
      <c r="L469">
        <v>10072320312</v>
      </c>
      <c r="M469">
        <v>20359062</v>
      </c>
      <c r="N469">
        <v>494.73</v>
      </c>
      <c r="O469">
        <v>68369</v>
      </c>
      <c r="P469">
        <v>536</v>
      </c>
      <c r="Q469">
        <v>244</v>
      </c>
      <c r="R469" t="s">
        <v>1983</v>
      </c>
      <c r="S469" t="s">
        <v>1984</v>
      </c>
      <c r="T469" t="s">
        <v>2002</v>
      </c>
      <c r="U469" t="s">
        <v>2003</v>
      </c>
    </row>
    <row r="470" spans="1:21">
      <c r="A470" t="s">
        <v>870</v>
      </c>
      <c r="B470" t="s">
        <v>31</v>
      </c>
      <c r="C470" t="s">
        <v>858</v>
      </c>
      <c r="D470" t="s">
        <v>871</v>
      </c>
      <c r="E470" t="s">
        <v>1987</v>
      </c>
      <c r="F470" t="s">
        <v>872</v>
      </c>
      <c r="G470" t="s">
        <v>18</v>
      </c>
      <c r="H470">
        <v>4878</v>
      </c>
      <c r="I470">
        <v>433</v>
      </c>
      <c r="J470">
        <v>190</v>
      </c>
      <c r="K470">
        <v>91</v>
      </c>
      <c r="L470">
        <v>381570127</v>
      </c>
      <c r="M470">
        <v>37</v>
      </c>
      <c r="N470">
        <v>10312706.140000001</v>
      </c>
      <c r="O470">
        <v>44011168</v>
      </c>
      <c r="P470">
        <v>30954872</v>
      </c>
      <c r="Q470">
        <v>25095745</v>
      </c>
      <c r="R470" t="s">
        <v>1983</v>
      </c>
      <c r="S470" t="s">
        <v>2019</v>
      </c>
      <c r="T470" t="s">
        <v>2020</v>
      </c>
      <c r="U470" t="s">
        <v>2021</v>
      </c>
    </row>
    <row r="471" spans="1:21">
      <c r="A471" t="s">
        <v>723</v>
      </c>
      <c r="B471" t="s">
        <v>31</v>
      </c>
      <c r="C471" t="s">
        <v>706</v>
      </c>
      <c r="D471" t="s">
        <v>724</v>
      </c>
      <c r="E471" t="s">
        <v>1987</v>
      </c>
      <c r="F471" t="s">
        <v>197</v>
      </c>
      <c r="G471" t="s">
        <v>18</v>
      </c>
      <c r="H471">
        <v>4678</v>
      </c>
      <c r="I471">
        <v>426</v>
      </c>
      <c r="J471">
        <v>387</v>
      </c>
      <c r="K471">
        <v>101</v>
      </c>
      <c r="L471">
        <v>292234740</v>
      </c>
      <c r="M471">
        <v>66245</v>
      </c>
      <c r="N471">
        <v>4411.42</v>
      </c>
      <c r="O471">
        <v>99171</v>
      </c>
      <c r="P471">
        <v>10284</v>
      </c>
      <c r="Q471">
        <v>2208</v>
      </c>
      <c r="R471" t="s">
        <v>1983</v>
      </c>
      <c r="S471" t="s">
        <v>2019</v>
      </c>
      <c r="T471" t="s">
        <v>2020</v>
      </c>
      <c r="U471" t="s">
        <v>2021</v>
      </c>
    </row>
    <row r="472" spans="1:21">
      <c r="A472" t="s">
        <v>925</v>
      </c>
      <c r="B472" t="s">
        <v>31</v>
      </c>
      <c r="C472" t="s">
        <v>908</v>
      </c>
      <c r="D472">
        <v>100</v>
      </c>
      <c r="E472" t="s">
        <v>1987</v>
      </c>
      <c r="F472" t="s">
        <v>79</v>
      </c>
      <c r="G472" t="s">
        <v>18</v>
      </c>
      <c r="H472">
        <v>224</v>
      </c>
      <c r="I472">
        <v>5350</v>
      </c>
      <c r="J472">
        <v>11</v>
      </c>
      <c r="K472">
        <v>7</v>
      </c>
      <c r="L472">
        <v>864319688</v>
      </c>
      <c r="M472">
        <v>883</v>
      </c>
      <c r="N472">
        <v>978844.49</v>
      </c>
      <c r="O472">
        <v>68435146</v>
      </c>
      <c r="P472">
        <v>47841526</v>
      </c>
      <c r="Q472">
        <v>32408064</v>
      </c>
      <c r="R472" t="s">
        <v>1992</v>
      </c>
      <c r="S472" t="s">
        <v>1993</v>
      </c>
      <c r="T472" t="s">
        <v>2017</v>
      </c>
      <c r="U472" t="s">
        <v>3016</v>
      </c>
    </row>
    <row r="473" spans="1:21">
      <c r="A473" t="s">
        <v>907</v>
      </c>
      <c r="B473" t="s">
        <v>31</v>
      </c>
      <c r="C473" t="s">
        <v>908</v>
      </c>
      <c r="D473">
        <v>332</v>
      </c>
      <c r="E473" t="s">
        <v>1987</v>
      </c>
      <c r="F473" t="s">
        <v>79</v>
      </c>
      <c r="G473" t="s">
        <v>18</v>
      </c>
      <c r="H473">
        <v>202</v>
      </c>
      <c r="I473">
        <v>5372</v>
      </c>
      <c r="J473">
        <v>11</v>
      </c>
      <c r="K473">
        <v>7</v>
      </c>
      <c r="L473">
        <v>856193914</v>
      </c>
      <c r="M473">
        <v>580</v>
      </c>
      <c r="N473">
        <v>1476196.4</v>
      </c>
      <c r="O473">
        <v>68556141</v>
      </c>
      <c r="P473">
        <v>48520698</v>
      </c>
      <c r="Q473">
        <v>33091697</v>
      </c>
      <c r="R473" t="s">
        <v>1992</v>
      </c>
      <c r="S473" t="s">
        <v>1993</v>
      </c>
      <c r="T473" t="s">
        <v>2017</v>
      </c>
      <c r="U473" t="s">
        <v>3016</v>
      </c>
    </row>
    <row r="474" spans="1:21">
      <c r="A474" t="s">
        <v>921</v>
      </c>
      <c r="B474" t="s">
        <v>31</v>
      </c>
      <c r="C474" t="s">
        <v>908</v>
      </c>
      <c r="D474">
        <v>382</v>
      </c>
      <c r="E474" t="s">
        <v>1987</v>
      </c>
      <c r="F474" t="s">
        <v>79</v>
      </c>
      <c r="G474" t="s">
        <v>18</v>
      </c>
      <c r="H474">
        <v>203</v>
      </c>
      <c r="I474">
        <v>5371</v>
      </c>
      <c r="J474">
        <v>10</v>
      </c>
      <c r="K474">
        <v>8</v>
      </c>
      <c r="L474">
        <v>861003660</v>
      </c>
      <c r="M474">
        <v>799</v>
      </c>
      <c r="N474">
        <v>1077601.58</v>
      </c>
      <c r="O474">
        <v>68284130</v>
      </c>
      <c r="P474">
        <v>48409131</v>
      </c>
      <c r="Q474">
        <v>33230627</v>
      </c>
      <c r="R474" t="s">
        <v>1992</v>
      </c>
      <c r="S474" t="s">
        <v>1993</v>
      </c>
      <c r="T474" t="s">
        <v>2017</v>
      </c>
      <c r="U474" t="s">
        <v>3016</v>
      </c>
    </row>
    <row r="475" spans="1:21">
      <c r="A475" t="s">
        <v>917</v>
      </c>
      <c r="B475" t="s">
        <v>31</v>
      </c>
      <c r="C475" t="s">
        <v>908</v>
      </c>
      <c r="D475">
        <v>404</v>
      </c>
      <c r="E475" t="s">
        <v>1987</v>
      </c>
      <c r="F475" t="s">
        <v>79</v>
      </c>
      <c r="G475" t="s">
        <v>18</v>
      </c>
      <c r="H475">
        <v>205</v>
      </c>
      <c r="I475">
        <v>5369</v>
      </c>
      <c r="J475">
        <v>11</v>
      </c>
      <c r="K475">
        <v>7</v>
      </c>
      <c r="L475">
        <v>870426397</v>
      </c>
      <c r="M475">
        <v>813</v>
      </c>
      <c r="N475">
        <v>1070635.17</v>
      </c>
      <c r="O475">
        <v>67675485</v>
      </c>
      <c r="P475">
        <v>48098985</v>
      </c>
      <c r="Q475">
        <v>32760502</v>
      </c>
      <c r="R475" t="s">
        <v>1992</v>
      </c>
      <c r="S475" t="s">
        <v>1993</v>
      </c>
      <c r="T475" t="s">
        <v>2017</v>
      </c>
      <c r="U475" t="s">
        <v>3016</v>
      </c>
    </row>
    <row r="476" spans="1:21">
      <c r="A476" t="s">
        <v>913</v>
      </c>
      <c r="B476" t="s">
        <v>31</v>
      </c>
      <c r="C476" t="s">
        <v>908</v>
      </c>
      <c r="D476">
        <v>477</v>
      </c>
      <c r="E476" t="s">
        <v>1987</v>
      </c>
      <c r="F476" t="s">
        <v>79</v>
      </c>
      <c r="G476" t="s">
        <v>18</v>
      </c>
      <c r="H476">
        <v>200</v>
      </c>
      <c r="I476">
        <v>5374</v>
      </c>
      <c r="J476">
        <v>11</v>
      </c>
      <c r="K476">
        <v>7</v>
      </c>
      <c r="L476">
        <v>877201328</v>
      </c>
      <c r="M476">
        <v>1031</v>
      </c>
      <c r="N476">
        <v>850825.73</v>
      </c>
      <c r="O476">
        <v>68583910</v>
      </c>
      <c r="P476">
        <v>48241208</v>
      </c>
      <c r="Q476">
        <v>33576363</v>
      </c>
      <c r="R476" t="s">
        <v>1992</v>
      </c>
      <c r="S476" t="s">
        <v>1993</v>
      </c>
      <c r="T476" t="s">
        <v>2017</v>
      </c>
      <c r="U476" t="s">
        <v>3016</v>
      </c>
    </row>
    <row r="477" spans="1:21">
      <c r="A477" t="s">
        <v>200</v>
      </c>
      <c r="B477" t="s">
        <v>31</v>
      </c>
      <c r="C477" t="s">
        <v>201</v>
      </c>
      <c r="D477" t="s">
        <v>202</v>
      </c>
      <c r="E477" t="s">
        <v>1987</v>
      </c>
      <c r="F477" t="s">
        <v>204</v>
      </c>
      <c r="G477" t="s">
        <v>205</v>
      </c>
      <c r="H477">
        <v>3860</v>
      </c>
      <c r="I477">
        <v>272</v>
      </c>
      <c r="J477">
        <v>1250</v>
      </c>
      <c r="K477">
        <v>210</v>
      </c>
      <c r="L477">
        <v>212594904</v>
      </c>
      <c r="M477">
        <v>8</v>
      </c>
      <c r="N477">
        <v>26574363</v>
      </c>
      <c r="O477">
        <v>132240539</v>
      </c>
      <c r="P477">
        <v>132240539</v>
      </c>
      <c r="Q477">
        <v>13805040</v>
      </c>
      <c r="R477" t="s">
        <v>1983</v>
      </c>
      <c r="S477" t="s">
        <v>1984</v>
      </c>
      <c r="T477" t="s">
        <v>2004</v>
      </c>
      <c r="U477" t="s">
        <v>2005</v>
      </c>
    </row>
    <row r="478" spans="1:21">
      <c r="A478" t="s">
        <v>235</v>
      </c>
      <c r="B478" t="s">
        <v>31</v>
      </c>
      <c r="C478" t="s">
        <v>236</v>
      </c>
      <c r="D478" t="s">
        <v>31</v>
      </c>
      <c r="E478" t="s">
        <v>1987</v>
      </c>
      <c r="F478" t="s">
        <v>237</v>
      </c>
      <c r="G478" t="s">
        <v>205</v>
      </c>
      <c r="H478">
        <v>282</v>
      </c>
      <c r="I478">
        <v>4973</v>
      </c>
      <c r="J478">
        <v>195</v>
      </c>
      <c r="K478">
        <v>142</v>
      </c>
      <c r="L478">
        <v>509216367</v>
      </c>
      <c r="M478">
        <v>15</v>
      </c>
      <c r="N478">
        <v>33947757.799999997</v>
      </c>
      <c r="O478">
        <v>73190852</v>
      </c>
      <c r="P478">
        <v>30611413</v>
      </c>
      <c r="Q478">
        <v>21014192</v>
      </c>
      <c r="R478" t="s">
        <v>1983</v>
      </c>
      <c r="S478" t="s">
        <v>1984</v>
      </c>
      <c r="T478" t="s">
        <v>2004</v>
      </c>
      <c r="U478" t="s">
        <v>2005</v>
      </c>
    </row>
    <row r="479" spans="1:21">
      <c r="A479" t="s">
        <v>2361</v>
      </c>
      <c r="B479" t="s">
        <v>31</v>
      </c>
      <c r="C479" t="s">
        <v>2362</v>
      </c>
      <c r="D479" t="s">
        <v>2363</v>
      </c>
      <c r="E479" t="s">
        <v>1982</v>
      </c>
      <c r="F479" t="s">
        <v>71</v>
      </c>
      <c r="G479" t="s">
        <v>1991</v>
      </c>
      <c r="H479">
        <v>1</v>
      </c>
      <c r="I479">
        <v>5588</v>
      </c>
      <c r="J479">
        <v>2</v>
      </c>
      <c r="K479">
        <v>1</v>
      </c>
      <c r="L479">
        <v>3514573948</v>
      </c>
      <c r="M479">
        <v>1865</v>
      </c>
      <c r="N479">
        <v>1884490.05</v>
      </c>
      <c r="O479">
        <v>87074309</v>
      </c>
      <c r="P479">
        <v>40135666</v>
      </c>
      <c r="Q479">
        <v>21490558</v>
      </c>
      <c r="R479" t="s">
        <v>1992</v>
      </c>
      <c r="S479" t="s">
        <v>1993</v>
      </c>
      <c r="T479" t="s">
        <v>1994</v>
      </c>
      <c r="U479" t="s">
        <v>1995</v>
      </c>
    </row>
    <row r="480" spans="1:21">
      <c r="A480" t="s">
        <v>211</v>
      </c>
      <c r="B480" t="s">
        <v>31</v>
      </c>
      <c r="C480" t="s">
        <v>201</v>
      </c>
      <c r="D480" t="s">
        <v>212</v>
      </c>
      <c r="E480" t="s">
        <v>1987</v>
      </c>
      <c r="F480" t="s">
        <v>214</v>
      </c>
      <c r="G480" t="s">
        <v>18</v>
      </c>
      <c r="H480">
        <v>4730</v>
      </c>
      <c r="I480">
        <v>451</v>
      </c>
      <c r="J480">
        <v>240</v>
      </c>
      <c r="K480">
        <v>171</v>
      </c>
      <c r="L480">
        <v>271163419</v>
      </c>
      <c r="M480">
        <v>10</v>
      </c>
      <c r="N480">
        <v>27116341.899999999</v>
      </c>
      <c r="O480">
        <v>75071545</v>
      </c>
      <c r="P480">
        <v>59130575</v>
      </c>
      <c r="Q480">
        <v>28630136</v>
      </c>
      <c r="R480" t="s">
        <v>1983</v>
      </c>
      <c r="S480" t="s">
        <v>1984</v>
      </c>
      <c r="T480" t="s">
        <v>2004</v>
      </c>
      <c r="U480" t="s">
        <v>2005</v>
      </c>
    </row>
    <row r="481" spans="1:21">
      <c r="A481" t="s">
        <v>242</v>
      </c>
      <c r="B481" t="s">
        <v>31</v>
      </c>
      <c r="C481" t="s">
        <v>243</v>
      </c>
      <c r="D481" t="s">
        <v>31</v>
      </c>
      <c r="E481" t="s">
        <v>1987</v>
      </c>
      <c r="F481" t="s">
        <v>244</v>
      </c>
      <c r="G481" t="s">
        <v>245</v>
      </c>
      <c r="H481">
        <v>4770</v>
      </c>
      <c r="I481">
        <v>397</v>
      </c>
      <c r="J481">
        <v>250</v>
      </c>
      <c r="K481">
        <v>175</v>
      </c>
      <c r="L481">
        <v>234142426</v>
      </c>
      <c r="M481">
        <v>112</v>
      </c>
      <c r="N481">
        <v>2090557.38</v>
      </c>
      <c r="O481">
        <v>30108798</v>
      </c>
      <c r="P481">
        <v>23060899</v>
      </c>
      <c r="Q481">
        <v>20580347</v>
      </c>
      <c r="R481" t="s">
        <v>1983</v>
      </c>
      <c r="S481" t="s">
        <v>1984</v>
      </c>
      <c r="T481" t="s">
        <v>2004</v>
      </c>
      <c r="U481" t="s">
        <v>2005</v>
      </c>
    </row>
    <row r="482" spans="1:21">
      <c r="A482" t="s">
        <v>258</v>
      </c>
      <c r="B482" t="s">
        <v>31</v>
      </c>
      <c r="C482" t="s">
        <v>259</v>
      </c>
      <c r="D482" t="s">
        <v>31</v>
      </c>
      <c r="E482" t="s">
        <v>1987</v>
      </c>
      <c r="F482" t="s">
        <v>261</v>
      </c>
      <c r="G482" t="s">
        <v>245</v>
      </c>
      <c r="H482">
        <v>4465</v>
      </c>
      <c r="I482">
        <v>605</v>
      </c>
      <c r="J482">
        <v>298</v>
      </c>
      <c r="K482">
        <v>224</v>
      </c>
      <c r="L482">
        <v>2480409092</v>
      </c>
      <c r="M482">
        <v>243</v>
      </c>
      <c r="N482">
        <v>10207444.82</v>
      </c>
      <c r="O482">
        <v>422429431</v>
      </c>
      <c r="P482">
        <v>357431218</v>
      </c>
      <c r="Q482">
        <v>276769793</v>
      </c>
      <c r="R482" t="s">
        <v>1983</v>
      </c>
      <c r="S482" t="s">
        <v>1984</v>
      </c>
      <c r="T482" t="s">
        <v>2006</v>
      </c>
      <c r="U482" t="s">
        <v>2007</v>
      </c>
    </row>
    <row r="483" spans="1:21">
      <c r="A483" t="s">
        <v>1287</v>
      </c>
      <c r="B483" t="s">
        <v>31</v>
      </c>
      <c r="C483" t="s">
        <v>1281</v>
      </c>
      <c r="D483" t="s">
        <v>1288</v>
      </c>
      <c r="E483" t="s">
        <v>1982</v>
      </c>
      <c r="F483" t="s">
        <v>1055</v>
      </c>
      <c r="G483" t="s">
        <v>18</v>
      </c>
      <c r="H483">
        <v>4743</v>
      </c>
      <c r="I483">
        <v>285</v>
      </c>
      <c r="J483">
        <v>498</v>
      </c>
      <c r="K483">
        <v>66</v>
      </c>
      <c r="L483">
        <v>732531281</v>
      </c>
      <c r="M483">
        <v>102577</v>
      </c>
      <c r="N483">
        <v>7141.28</v>
      </c>
      <c r="O483">
        <v>431517</v>
      </c>
      <c r="P483">
        <v>27770</v>
      </c>
      <c r="Q483">
        <v>2107</v>
      </c>
      <c r="R483" t="s">
        <v>1992</v>
      </c>
      <c r="S483" t="s">
        <v>1993</v>
      </c>
      <c r="T483" t="s">
        <v>2017</v>
      </c>
      <c r="U483" t="s">
        <v>3509</v>
      </c>
    </row>
    <row r="484" spans="1:21">
      <c r="A484" t="s">
        <v>309</v>
      </c>
      <c r="B484" t="s">
        <v>31</v>
      </c>
      <c r="C484" t="s">
        <v>303</v>
      </c>
      <c r="D484" t="s">
        <v>310</v>
      </c>
      <c r="E484" t="s">
        <v>1982</v>
      </c>
      <c r="F484" t="s">
        <v>311</v>
      </c>
      <c r="G484" t="s">
        <v>18</v>
      </c>
      <c r="H484">
        <v>318</v>
      </c>
      <c r="I484">
        <v>5250</v>
      </c>
      <c r="J484">
        <v>14</v>
      </c>
      <c r="K484">
        <v>10</v>
      </c>
      <c r="L484">
        <v>1967774562</v>
      </c>
      <c r="M484">
        <v>252</v>
      </c>
      <c r="N484">
        <v>7808629.21</v>
      </c>
      <c r="O484">
        <v>199064672</v>
      </c>
      <c r="P484">
        <v>150585890</v>
      </c>
      <c r="Q484">
        <v>99749506</v>
      </c>
      <c r="R484" t="s">
        <v>1992</v>
      </c>
      <c r="S484" t="s">
        <v>1993</v>
      </c>
      <c r="T484" t="s">
        <v>2017</v>
      </c>
      <c r="U484" t="s">
        <v>2029</v>
      </c>
    </row>
    <row r="485" spans="1:21">
      <c r="A485" t="s">
        <v>2460</v>
      </c>
      <c r="B485" t="s">
        <v>31</v>
      </c>
      <c r="C485" t="s">
        <v>354</v>
      </c>
      <c r="D485" t="s">
        <v>2461</v>
      </c>
      <c r="E485" t="s">
        <v>1982</v>
      </c>
      <c r="F485" t="s">
        <v>71</v>
      </c>
      <c r="G485" t="s">
        <v>1991</v>
      </c>
      <c r="H485">
        <v>12</v>
      </c>
      <c r="I485">
        <v>5573</v>
      </c>
      <c r="J485">
        <v>6</v>
      </c>
      <c r="K485">
        <v>1</v>
      </c>
      <c r="L485">
        <v>2391180077</v>
      </c>
      <c r="M485">
        <v>1712</v>
      </c>
      <c r="N485">
        <v>1396717.33</v>
      </c>
      <c r="O485">
        <v>27477476</v>
      </c>
      <c r="P485">
        <v>6615290</v>
      </c>
      <c r="Q485">
        <v>1601637</v>
      </c>
      <c r="R485" t="s">
        <v>1992</v>
      </c>
      <c r="S485" t="s">
        <v>1993</v>
      </c>
      <c r="T485" t="s">
        <v>1994</v>
      </c>
      <c r="U485" t="s">
        <v>1995</v>
      </c>
    </row>
    <row r="486" spans="1:21">
      <c r="A486" t="s">
        <v>353</v>
      </c>
      <c r="B486" t="s">
        <v>31</v>
      </c>
      <c r="C486" t="s">
        <v>354</v>
      </c>
      <c r="D486" t="s">
        <v>355</v>
      </c>
      <c r="E486" t="s">
        <v>1982</v>
      </c>
      <c r="F486" t="s">
        <v>356</v>
      </c>
      <c r="G486" t="s">
        <v>18</v>
      </c>
      <c r="H486">
        <v>3921</v>
      </c>
      <c r="I486">
        <v>248</v>
      </c>
      <c r="J486">
        <v>1235</v>
      </c>
      <c r="K486">
        <v>188</v>
      </c>
      <c r="L486">
        <v>364442032</v>
      </c>
      <c r="M486">
        <v>127303</v>
      </c>
      <c r="N486">
        <v>2862.79</v>
      </c>
      <c r="O486">
        <v>67673</v>
      </c>
      <c r="P486">
        <v>4347</v>
      </c>
      <c r="Q486">
        <v>1289</v>
      </c>
      <c r="R486" t="s">
        <v>1992</v>
      </c>
      <c r="S486" t="s">
        <v>1993</v>
      </c>
      <c r="T486" t="s">
        <v>1994</v>
      </c>
      <c r="U486" t="s">
        <v>1995</v>
      </c>
    </row>
    <row r="487" spans="1:21">
      <c r="A487" t="s">
        <v>479</v>
      </c>
      <c r="B487" t="s">
        <v>31</v>
      </c>
      <c r="C487" t="s">
        <v>480</v>
      </c>
      <c r="D487" t="s">
        <v>481</v>
      </c>
      <c r="E487" t="s">
        <v>1982</v>
      </c>
      <c r="F487" t="s">
        <v>482</v>
      </c>
      <c r="G487" t="s">
        <v>18</v>
      </c>
      <c r="H487">
        <v>3667</v>
      </c>
      <c r="I487">
        <v>1849</v>
      </c>
      <c r="J487">
        <v>50</v>
      </c>
      <c r="K487">
        <v>26</v>
      </c>
      <c r="L487">
        <v>603072269</v>
      </c>
      <c r="M487">
        <v>1143</v>
      </c>
      <c r="N487">
        <v>527622.28</v>
      </c>
      <c r="O487">
        <v>59696155</v>
      </c>
      <c r="P487">
        <v>43444889</v>
      </c>
      <c r="Q487">
        <v>185020</v>
      </c>
      <c r="R487" t="s">
        <v>1992</v>
      </c>
      <c r="S487" t="s">
        <v>2012</v>
      </c>
      <c r="T487" t="s">
        <v>2631</v>
      </c>
      <c r="U487" t="s">
        <v>2632</v>
      </c>
    </row>
    <row r="488" spans="1:21">
      <c r="A488" t="s">
        <v>1629</v>
      </c>
      <c r="B488" t="s">
        <v>31</v>
      </c>
      <c r="C488" t="s">
        <v>1630</v>
      </c>
      <c r="D488" t="s">
        <v>2059</v>
      </c>
      <c r="E488" t="s">
        <v>1982</v>
      </c>
      <c r="F488" t="s">
        <v>204</v>
      </c>
      <c r="G488" t="s">
        <v>1376</v>
      </c>
      <c r="H488">
        <v>2259</v>
      </c>
      <c r="I488">
        <v>2534</v>
      </c>
      <c r="J488">
        <v>752</v>
      </c>
      <c r="K488">
        <v>47</v>
      </c>
      <c r="L488">
        <v>4449572043</v>
      </c>
      <c r="M488">
        <v>6577781</v>
      </c>
      <c r="N488">
        <v>676.45</v>
      </c>
      <c r="O488">
        <v>61325</v>
      </c>
      <c r="P488">
        <v>1043</v>
      </c>
      <c r="Q488">
        <v>282</v>
      </c>
      <c r="R488" t="s">
        <v>1983</v>
      </c>
      <c r="S488" t="s">
        <v>2034</v>
      </c>
      <c r="T488" t="s">
        <v>2037</v>
      </c>
      <c r="U488" t="s">
        <v>2038</v>
      </c>
    </row>
    <row r="489" spans="1:21">
      <c r="A489" t="s">
        <v>2008</v>
      </c>
      <c r="B489" t="s">
        <v>31</v>
      </c>
      <c r="C489" t="s">
        <v>2009</v>
      </c>
      <c r="D489" t="s">
        <v>31</v>
      </c>
      <c r="E489" t="s">
        <v>1982</v>
      </c>
      <c r="F489" t="s">
        <v>31</v>
      </c>
      <c r="G489" t="s">
        <v>1991</v>
      </c>
      <c r="H489">
        <v>3676</v>
      </c>
      <c r="I489">
        <v>1901</v>
      </c>
      <c r="J489">
        <v>11</v>
      </c>
      <c r="K489">
        <v>4</v>
      </c>
      <c r="L489">
        <v>1377811679</v>
      </c>
      <c r="M489">
        <v>37972</v>
      </c>
      <c r="N489">
        <v>36284.94</v>
      </c>
      <c r="O489">
        <v>596825</v>
      </c>
      <c r="P489">
        <v>78239</v>
      </c>
      <c r="Q489">
        <v>16500</v>
      </c>
      <c r="R489" t="s">
        <v>1992</v>
      </c>
      <c r="S489" t="s">
        <v>1993</v>
      </c>
      <c r="T489" t="s">
        <v>1994</v>
      </c>
      <c r="U489" t="s">
        <v>2010</v>
      </c>
    </row>
    <row r="490" spans="1:21">
      <c r="A490" t="s">
        <v>1138</v>
      </c>
      <c r="B490" t="s">
        <v>31</v>
      </c>
      <c r="C490" t="s">
        <v>1113</v>
      </c>
      <c r="D490" t="s">
        <v>31</v>
      </c>
      <c r="E490" t="s">
        <v>1987</v>
      </c>
      <c r="F490" t="s">
        <v>71</v>
      </c>
      <c r="G490" t="s">
        <v>18</v>
      </c>
      <c r="H490">
        <v>5572</v>
      </c>
      <c r="I490">
        <v>18</v>
      </c>
      <c r="J490">
        <v>1</v>
      </c>
      <c r="K490">
        <v>1</v>
      </c>
      <c r="L490">
        <v>687275711</v>
      </c>
      <c r="M490">
        <v>10</v>
      </c>
      <c r="N490">
        <v>68727571.099999994</v>
      </c>
      <c r="O490">
        <v>79657019</v>
      </c>
      <c r="P490">
        <v>67999901</v>
      </c>
      <c r="Q490">
        <v>60843859</v>
      </c>
      <c r="R490" t="s">
        <v>1992</v>
      </c>
      <c r="S490" t="s">
        <v>1993</v>
      </c>
      <c r="T490" t="s">
        <v>1994</v>
      </c>
      <c r="U490" t="s">
        <v>2011</v>
      </c>
    </row>
    <row r="491" spans="1:21">
      <c r="A491" t="s">
        <v>2514</v>
      </c>
      <c r="B491" t="s">
        <v>31</v>
      </c>
      <c r="C491" t="s">
        <v>2515</v>
      </c>
      <c r="D491" t="s">
        <v>2516</v>
      </c>
      <c r="E491" t="s">
        <v>1982</v>
      </c>
      <c r="F491" t="s">
        <v>71</v>
      </c>
      <c r="G491" t="s">
        <v>1991</v>
      </c>
      <c r="H491">
        <v>5430</v>
      </c>
      <c r="I491">
        <v>146</v>
      </c>
      <c r="J491">
        <v>12</v>
      </c>
      <c r="K491">
        <v>4</v>
      </c>
      <c r="L491">
        <v>812929409</v>
      </c>
      <c r="M491">
        <v>309</v>
      </c>
      <c r="N491">
        <v>2630839.5099999998</v>
      </c>
      <c r="O491">
        <v>52264339</v>
      </c>
      <c r="P491">
        <v>39625605</v>
      </c>
      <c r="Q491">
        <v>26662570</v>
      </c>
      <c r="R491" t="s">
        <v>1992</v>
      </c>
      <c r="S491" t="s">
        <v>1993</v>
      </c>
      <c r="T491" t="s">
        <v>1994</v>
      </c>
      <c r="U491" t="s">
        <v>1995</v>
      </c>
    </row>
    <row r="492" spans="1:21">
      <c r="A492" t="s">
        <v>323</v>
      </c>
      <c r="B492" t="s">
        <v>31</v>
      </c>
      <c r="C492" t="s">
        <v>324</v>
      </c>
      <c r="D492" t="s">
        <v>325</v>
      </c>
      <c r="E492" t="s">
        <v>1982</v>
      </c>
      <c r="F492" t="s">
        <v>326</v>
      </c>
      <c r="G492" t="s">
        <v>18</v>
      </c>
      <c r="H492">
        <v>2996</v>
      </c>
      <c r="I492">
        <v>2583</v>
      </c>
      <c r="J492">
        <v>10</v>
      </c>
      <c r="K492">
        <v>3</v>
      </c>
      <c r="L492">
        <v>930509241</v>
      </c>
      <c r="M492">
        <v>8344</v>
      </c>
      <c r="N492">
        <v>111518.37</v>
      </c>
      <c r="O492">
        <v>2390623</v>
      </c>
      <c r="P492">
        <v>212358</v>
      </c>
      <c r="Q492">
        <v>61793</v>
      </c>
      <c r="R492" t="s">
        <v>1992</v>
      </c>
      <c r="S492" t="s">
        <v>1993</v>
      </c>
      <c r="T492" t="s">
        <v>1994</v>
      </c>
      <c r="U492" t="s">
        <v>2010</v>
      </c>
    </row>
    <row r="493" spans="1:21">
      <c r="A493" t="s">
        <v>2438</v>
      </c>
      <c r="B493" t="s">
        <v>31</v>
      </c>
      <c r="C493" t="s">
        <v>324</v>
      </c>
      <c r="D493" t="s">
        <v>2439</v>
      </c>
      <c r="E493" t="s">
        <v>1982</v>
      </c>
      <c r="F493" t="s">
        <v>71</v>
      </c>
      <c r="G493" t="s">
        <v>1991</v>
      </c>
      <c r="H493">
        <v>823</v>
      </c>
      <c r="I493">
        <v>4762</v>
      </c>
      <c r="J493">
        <v>4</v>
      </c>
      <c r="K493">
        <v>3</v>
      </c>
      <c r="L493">
        <v>1325370691</v>
      </c>
      <c r="M493">
        <v>4791</v>
      </c>
      <c r="N493">
        <v>276637.59000000003</v>
      </c>
      <c r="O493">
        <v>77818675</v>
      </c>
      <c r="P493">
        <v>45781106</v>
      </c>
      <c r="Q493">
        <v>60532</v>
      </c>
      <c r="R493" t="s">
        <v>1992</v>
      </c>
      <c r="S493" t="s">
        <v>1993</v>
      </c>
      <c r="T493" t="s">
        <v>1994</v>
      </c>
      <c r="U493" t="s">
        <v>2010</v>
      </c>
    </row>
    <row r="494" spans="1:21">
      <c r="A494" t="s">
        <v>1640</v>
      </c>
      <c r="B494" t="s">
        <v>31</v>
      </c>
      <c r="C494" t="s">
        <v>1641</v>
      </c>
      <c r="D494" t="s">
        <v>2059</v>
      </c>
      <c r="E494" t="s">
        <v>1982</v>
      </c>
      <c r="F494" t="s">
        <v>204</v>
      </c>
      <c r="G494" t="s">
        <v>1376</v>
      </c>
      <c r="H494">
        <v>1592</v>
      </c>
      <c r="I494">
        <v>2384</v>
      </c>
      <c r="J494">
        <v>1580</v>
      </c>
      <c r="K494">
        <v>36</v>
      </c>
      <c r="L494">
        <v>1464095605</v>
      </c>
      <c r="M494">
        <v>2265995</v>
      </c>
      <c r="N494">
        <v>646.12</v>
      </c>
      <c r="O494">
        <v>69603</v>
      </c>
      <c r="P494">
        <v>1156</v>
      </c>
      <c r="Q494">
        <v>269</v>
      </c>
      <c r="R494" t="s">
        <v>1992</v>
      </c>
      <c r="S494" t="s">
        <v>2012</v>
      </c>
      <c r="T494" t="s">
        <v>2013</v>
      </c>
      <c r="U494" t="s">
        <v>2014</v>
      </c>
    </row>
    <row r="495" spans="1:21">
      <c r="A495" t="s">
        <v>367</v>
      </c>
      <c r="B495" t="s">
        <v>31</v>
      </c>
      <c r="C495" t="s">
        <v>368</v>
      </c>
      <c r="D495" t="s">
        <v>31</v>
      </c>
      <c r="E495" t="s">
        <v>1982</v>
      </c>
      <c r="F495" t="s">
        <v>244</v>
      </c>
      <c r="G495" t="s">
        <v>245</v>
      </c>
      <c r="H495">
        <v>4661</v>
      </c>
      <c r="I495">
        <v>778</v>
      </c>
      <c r="J495">
        <v>92</v>
      </c>
      <c r="K495">
        <v>61</v>
      </c>
      <c r="L495">
        <v>383077836</v>
      </c>
      <c r="M495">
        <v>9</v>
      </c>
      <c r="N495">
        <v>42564204</v>
      </c>
      <c r="O495">
        <v>60782385</v>
      </c>
      <c r="P495">
        <v>44001240</v>
      </c>
      <c r="Q495">
        <v>32203230</v>
      </c>
      <c r="R495" t="s">
        <v>1992</v>
      </c>
      <c r="S495" t="s">
        <v>2012</v>
      </c>
      <c r="T495" t="s">
        <v>2013</v>
      </c>
      <c r="U495" t="s">
        <v>2014</v>
      </c>
    </row>
    <row r="496" spans="1:21">
      <c r="A496" t="s">
        <v>116</v>
      </c>
      <c r="B496" t="s">
        <v>31</v>
      </c>
      <c r="C496" t="s">
        <v>110</v>
      </c>
      <c r="D496" t="s">
        <v>31</v>
      </c>
      <c r="E496" t="s">
        <v>1987</v>
      </c>
      <c r="F496" t="s">
        <v>117</v>
      </c>
      <c r="G496" t="s">
        <v>18</v>
      </c>
      <c r="H496">
        <v>3844</v>
      </c>
      <c r="I496">
        <v>1209</v>
      </c>
      <c r="J496">
        <v>287</v>
      </c>
      <c r="K496">
        <v>252</v>
      </c>
      <c r="L496">
        <v>3547828963</v>
      </c>
      <c r="M496">
        <v>199</v>
      </c>
      <c r="N496">
        <v>17828286.25</v>
      </c>
      <c r="O496">
        <v>807086175</v>
      </c>
      <c r="P496">
        <v>554019051</v>
      </c>
      <c r="Q496">
        <v>373701575</v>
      </c>
      <c r="R496" t="s">
        <v>1983</v>
      </c>
      <c r="S496" t="s">
        <v>1984</v>
      </c>
      <c r="T496" t="s">
        <v>2002</v>
      </c>
      <c r="U496" t="s">
        <v>2015</v>
      </c>
    </row>
    <row r="497" spans="1:21">
      <c r="A497" t="s">
        <v>405</v>
      </c>
      <c r="B497" t="s">
        <v>31</v>
      </c>
      <c r="C497" t="s">
        <v>406</v>
      </c>
      <c r="D497" t="s">
        <v>407</v>
      </c>
      <c r="E497" t="s">
        <v>1987</v>
      </c>
      <c r="F497" t="s">
        <v>71</v>
      </c>
      <c r="G497" t="s">
        <v>18</v>
      </c>
      <c r="H497">
        <v>57</v>
      </c>
      <c r="I497">
        <v>5516</v>
      </c>
      <c r="J497">
        <v>13</v>
      </c>
      <c r="K497">
        <v>6</v>
      </c>
      <c r="L497">
        <v>760650579</v>
      </c>
      <c r="M497">
        <v>3329</v>
      </c>
      <c r="N497">
        <v>228492.21</v>
      </c>
      <c r="O497">
        <v>10179458</v>
      </c>
      <c r="P497">
        <v>1734059</v>
      </c>
      <c r="Q497">
        <v>75850</v>
      </c>
      <c r="R497" t="s">
        <v>1992</v>
      </c>
      <c r="S497" t="s">
        <v>1993</v>
      </c>
      <c r="T497" t="s">
        <v>2017</v>
      </c>
      <c r="U497" t="s">
        <v>2018</v>
      </c>
    </row>
    <row r="498" spans="1:21">
      <c r="A498" t="s">
        <v>1655</v>
      </c>
      <c r="B498" t="s">
        <v>31</v>
      </c>
      <c r="C498" t="s">
        <v>1656</v>
      </c>
      <c r="D498" t="s">
        <v>2059</v>
      </c>
      <c r="E498" t="s">
        <v>31</v>
      </c>
      <c r="F498" t="s">
        <v>204</v>
      </c>
      <c r="G498" t="s">
        <v>1376</v>
      </c>
      <c r="H498">
        <v>535</v>
      </c>
      <c r="I498">
        <v>4419</v>
      </c>
      <c r="J498">
        <v>614</v>
      </c>
      <c r="K498">
        <v>24</v>
      </c>
      <c r="L498">
        <v>461679708</v>
      </c>
      <c r="M498">
        <v>258790</v>
      </c>
      <c r="N498">
        <v>1783.99</v>
      </c>
      <c r="O498">
        <v>222583</v>
      </c>
      <c r="P498">
        <v>20642</v>
      </c>
      <c r="Q498">
        <v>355</v>
      </c>
      <c r="R498" t="s">
        <v>1992</v>
      </c>
      <c r="S498" t="s">
        <v>2012</v>
      </c>
      <c r="T498" t="s">
        <v>2013</v>
      </c>
      <c r="U498" t="s">
        <v>2014</v>
      </c>
    </row>
    <row r="499" spans="1:21">
      <c r="A499" t="s">
        <v>432</v>
      </c>
      <c r="B499" t="s">
        <v>31</v>
      </c>
      <c r="C499" t="s">
        <v>433</v>
      </c>
      <c r="D499" t="s">
        <v>434</v>
      </c>
      <c r="E499" t="s">
        <v>1987</v>
      </c>
      <c r="F499" t="s">
        <v>435</v>
      </c>
      <c r="G499" t="s">
        <v>18</v>
      </c>
      <c r="H499">
        <v>171</v>
      </c>
      <c r="I499">
        <v>5325</v>
      </c>
      <c r="J499">
        <v>61</v>
      </c>
      <c r="K499">
        <v>35</v>
      </c>
      <c r="L499">
        <v>1111714373</v>
      </c>
      <c r="M499">
        <v>532</v>
      </c>
      <c r="N499">
        <v>2089688.67</v>
      </c>
      <c r="O499">
        <v>80350551</v>
      </c>
      <c r="P499">
        <v>61270980</v>
      </c>
      <c r="Q499">
        <v>45453302</v>
      </c>
      <c r="R499" t="s">
        <v>1992</v>
      </c>
      <c r="S499" t="s">
        <v>2012</v>
      </c>
      <c r="T499" t="s">
        <v>2013</v>
      </c>
      <c r="U499" t="s">
        <v>2014</v>
      </c>
    </row>
    <row r="500" spans="1:21">
      <c r="A500" t="s">
        <v>1280</v>
      </c>
      <c r="B500" t="s">
        <v>31</v>
      </c>
      <c r="C500" t="s">
        <v>1281</v>
      </c>
      <c r="D500" t="s">
        <v>1282</v>
      </c>
      <c r="E500" t="s">
        <v>1982</v>
      </c>
      <c r="F500" t="s">
        <v>643</v>
      </c>
      <c r="G500" t="s">
        <v>18</v>
      </c>
      <c r="H500">
        <v>4140</v>
      </c>
      <c r="I500">
        <v>1411</v>
      </c>
      <c r="J500">
        <v>23</v>
      </c>
      <c r="K500">
        <v>18</v>
      </c>
      <c r="L500">
        <v>604561744</v>
      </c>
      <c r="M500">
        <v>1146</v>
      </c>
      <c r="N500">
        <v>527540.79</v>
      </c>
      <c r="O500">
        <v>74745369</v>
      </c>
      <c r="P500">
        <v>64149980</v>
      </c>
      <c r="Q500">
        <v>52591766</v>
      </c>
      <c r="R500" t="s">
        <v>1992</v>
      </c>
      <c r="S500" t="s">
        <v>1993</v>
      </c>
      <c r="T500" t="s">
        <v>2017</v>
      </c>
      <c r="U500" t="s">
        <v>3509</v>
      </c>
    </row>
    <row r="501" spans="1:21">
      <c r="A501" t="s">
        <v>1474</v>
      </c>
      <c r="B501" t="s">
        <v>31</v>
      </c>
      <c r="C501" t="s">
        <v>1476</v>
      </c>
      <c r="D501" t="s">
        <v>31</v>
      </c>
      <c r="E501" t="s">
        <v>1987</v>
      </c>
      <c r="F501" t="s">
        <v>204</v>
      </c>
      <c r="G501" t="s">
        <v>1376</v>
      </c>
      <c r="H501">
        <v>1458</v>
      </c>
      <c r="I501">
        <v>2053</v>
      </c>
      <c r="J501">
        <v>1895</v>
      </c>
      <c r="K501">
        <v>186</v>
      </c>
      <c r="L501">
        <v>11721218252</v>
      </c>
      <c r="M501">
        <v>24360124</v>
      </c>
      <c r="N501">
        <v>481.16</v>
      </c>
      <c r="O501">
        <v>99819</v>
      </c>
      <c r="P501">
        <v>484</v>
      </c>
      <c r="Q501">
        <v>233</v>
      </c>
      <c r="R501" t="s">
        <v>1983</v>
      </c>
      <c r="S501" t="s">
        <v>1984</v>
      </c>
      <c r="T501" t="s">
        <v>1985</v>
      </c>
      <c r="U501" t="s">
        <v>1988</v>
      </c>
    </row>
    <row r="502" spans="1:21">
      <c r="A502" t="s">
        <v>2616</v>
      </c>
      <c r="B502" t="s">
        <v>31</v>
      </c>
      <c r="C502" t="s">
        <v>2617</v>
      </c>
      <c r="D502" t="s">
        <v>2618</v>
      </c>
      <c r="E502" t="s">
        <v>1982</v>
      </c>
      <c r="F502" t="s">
        <v>71</v>
      </c>
      <c r="G502" t="s">
        <v>1991</v>
      </c>
      <c r="H502">
        <v>267</v>
      </c>
      <c r="I502">
        <v>5308</v>
      </c>
      <c r="J502">
        <v>8</v>
      </c>
      <c r="K502">
        <v>9</v>
      </c>
      <c r="L502">
        <v>4766700579</v>
      </c>
      <c r="M502">
        <v>2006</v>
      </c>
      <c r="N502">
        <v>2376221.62</v>
      </c>
      <c r="O502">
        <v>188587593</v>
      </c>
      <c r="P502">
        <v>83734639</v>
      </c>
      <c r="Q502">
        <v>5935624</v>
      </c>
      <c r="R502" t="s">
        <v>1992</v>
      </c>
      <c r="S502" t="s">
        <v>1993</v>
      </c>
      <c r="T502" t="s">
        <v>1994</v>
      </c>
      <c r="U502" t="s">
        <v>31</v>
      </c>
    </row>
    <row r="503" spans="1:21">
      <c r="A503" t="s">
        <v>533</v>
      </c>
      <c r="B503" t="s">
        <v>31</v>
      </c>
      <c r="C503" t="s">
        <v>523</v>
      </c>
      <c r="D503" t="s">
        <v>31</v>
      </c>
      <c r="E503" t="s">
        <v>1982</v>
      </c>
      <c r="F503" t="s">
        <v>524</v>
      </c>
      <c r="G503" t="s">
        <v>18</v>
      </c>
      <c r="H503">
        <v>36</v>
      </c>
      <c r="I503">
        <v>5141</v>
      </c>
      <c r="J503">
        <v>224</v>
      </c>
      <c r="K503">
        <v>191</v>
      </c>
      <c r="L503">
        <v>14161654389</v>
      </c>
      <c r="M503">
        <v>14525</v>
      </c>
      <c r="N503">
        <v>974984.81</v>
      </c>
      <c r="O503">
        <v>558432928</v>
      </c>
      <c r="P503">
        <v>476315696</v>
      </c>
      <c r="Q503">
        <v>4134097</v>
      </c>
      <c r="R503" t="s">
        <v>1983</v>
      </c>
      <c r="S503" t="s">
        <v>1984</v>
      </c>
      <c r="T503" t="s">
        <v>1985</v>
      </c>
      <c r="U503" t="s">
        <v>1986</v>
      </c>
    </row>
    <row r="504" spans="1:21">
      <c r="A504" t="s">
        <v>522</v>
      </c>
      <c r="B504" t="s">
        <v>31</v>
      </c>
      <c r="C504" t="s">
        <v>523</v>
      </c>
      <c r="D504" t="s">
        <v>31</v>
      </c>
      <c r="E504" t="s">
        <v>1982</v>
      </c>
      <c r="F504" t="s">
        <v>524</v>
      </c>
      <c r="G504" t="s">
        <v>18</v>
      </c>
      <c r="H504">
        <v>57</v>
      </c>
      <c r="I504">
        <v>5093</v>
      </c>
      <c r="J504">
        <v>243</v>
      </c>
      <c r="K504">
        <v>199</v>
      </c>
      <c r="L504">
        <v>7335914012</v>
      </c>
      <c r="M504">
        <v>2650</v>
      </c>
      <c r="N504">
        <v>2768269.44</v>
      </c>
      <c r="O504">
        <v>579809636</v>
      </c>
      <c r="P504">
        <v>522841693</v>
      </c>
      <c r="Q504">
        <v>441744131</v>
      </c>
      <c r="R504" t="s">
        <v>1983</v>
      </c>
      <c r="S504" t="s">
        <v>1984</v>
      </c>
      <c r="T504" t="s">
        <v>1985</v>
      </c>
      <c r="U504" t="s">
        <v>1986</v>
      </c>
    </row>
    <row r="505" spans="1:21">
      <c r="A505" t="s">
        <v>537</v>
      </c>
      <c r="B505" t="s">
        <v>31</v>
      </c>
      <c r="C505" t="s">
        <v>523</v>
      </c>
      <c r="D505" t="s">
        <v>31</v>
      </c>
      <c r="E505" t="s">
        <v>1982</v>
      </c>
      <c r="F505" t="s">
        <v>524</v>
      </c>
      <c r="G505" t="s">
        <v>18</v>
      </c>
      <c r="H505">
        <v>44</v>
      </c>
      <c r="I505">
        <v>5137</v>
      </c>
      <c r="J505">
        <v>218</v>
      </c>
      <c r="K505">
        <v>193</v>
      </c>
      <c r="L505">
        <v>14504118994</v>
      </c>
      <c r="M505">
        <v>10828</v>
      </c>
      <c r="N505">
        <v>1339501.2</v>
      </c>
      <c r="O505">
        <v>561166410</v>
      </c>
      <c r="P505">
        <v>493534736</v>
      </c>
      <c r="Q505">
        <v>315874374</v>
      </c>
      <c r="R505" t="s">
        <v>1983</v>
      </c>
      <c r="S505" t="s">
        <v>1984</v>
      </c>
      <c r="T505" t="s">
        <v>1985</v>
      </c>
      <c r="U505" t="s">
        <v>1986</v>
      </c>
    </row>
    <row r="506" spans="1:21">
      <c r="A506" t="s">
        <v>508</v>
      </c>
      <c r="B506" t="s">
        <v>31</v>
      </c>
      <c r="C506" t="s">
        <v>509</v>
      </c>
      <c r="D506" t="s">
        <v>31</v>
      </c>
      <c r="E506" t="s">
        <v>1982</v>
      </c>
      <c r="F506" t="s">
        <v>237</v>
      </c>
      <c r="G506" t="s">
        <v>245</v>
      </c>
      <c r="H506">
        <v>83</v>
      </c>
      <c r="I506">
        <v>5189</v>
      </c>
      <c r="J506">
        <v>189</v>
      </c>
      <c r="K506">
        <v>131</v>
      </c>
      <c r="L506">
        <v>6651674100</v>
      </c>
      <c r="M506">
        <v>241</v>
      </c>
      <c r="N506">
        <v>27600307.469999999</v>
      </c>
      <c r="O506">
        <v>156390402</v>
      </c>
      <c r="P506">
        <v>47834921</v>
      </c>
      <c r="Q506">
        <v>13869248</v>
      </c>
      <c r="R506" t="s">
        <v>1983</v>
      </c>
      <c r="S506" t="s">
        <v>1984</v>
      </c>
      <c r="T506" t="s">
        <v>2002</v>
      </c>
      <c r="U506" t="s">
        <v>2016</v>
      </c>
    </row>
    <row r="507" spans="1:21">
      <c r="A507" t="s">
        <v>412</v>
      </c>
      <c r="B507" t="s">
        <v>31</v>
      </c>
      <c r="C507" t="s">
        <v>406</v>
      </c>
      <c r="D507" t="s">
        <v>31</v>
      </c>
      <c r="E507" t="s">
        <v>1987</v>
      </c>
      <c r="F507" t="s">
        <v>31</v>
      </c>
      <c r="G507" t="s">
        <v>18</v>
      </c>
      <c r="H507">
        <v>103</v>
      </c>
      <c r="I507">
        <v>5463</v>
      </c>
      <c r="J507">
        <v>19</v>
      </c>
      <c r="K507">
        <v>7</v>
      </c>
      <c r="L507">
        <v>716471022</v>
      </c>
      <c r="M507">
        <v>19</v>
      </c>
      <c r="N507">
        <v>37709001.159999996</v>
      </c>
      <c r="O507">
        <v>60747861</v>
      </c>
      <c r="P507">
        <v>40393928</v>
      </c>
      <c r="Q507">
        <v>27476960</v>
      </c>
      <c r="R507" t="s">
        <v>1992</v>
      </c>
      <c r="S507" t="s">
        <v>1993</v>
      </c>
      <c r="T507" t="s">
        <v>2017</v>
      </c>
      <c r="U507" t="s">
        <v>2018</v>
      </c>
    </row>
    <row r="508" spans="1:21">
      <c r="A508" t="s">
        <v>994</v>
      </c>
      <c r="B508" t="s">
        <v>31</v>
      </c>
      <c r="C508" t="s">
        <v>995</v>
      </c>
      <c r="D508" t="s">
        <v>996</v>
      </c>
      <c r="E508" t="s">
        <v>1987</v>
      </c>
      <c r="F508" t="s">
        <v>348</v>
      </c>
      <c r="G508" t="s">
        <v>18</v>
      </c>
      <c r="H508">
        <v>231</v>
      </c>
      <c r="I508">
        <v>4989</v>
      </c>
      <c r="J508">
        <v>220</v>
      </c>
      <c r="K508">
        <v>152</v>
      </c>
      <c r="L508">
        <v>1779762036</v>
      </c>
      <c r="M508">
        <v>26</v>
      </c>
      <c r="N508">
        <v>68452386</v>
      </c>
      <c r="O508">
        <v>320692588</v>
      </c>
      <c r="P508">
        <v>112260586</v>
      </c>
      <c r="Q508">
        <v>74350140</v>
      </c>
      <c r="R508" t="s">
        <v>1983</v>
      </c>
      <c r="S508" t="s">
        <v>1984</v>
      </c>
      <c r="T508" t="s">
        <v>2002</v>
      </c>
      <c r="U508" t="s">
        <v>2030</v>
      </c>
    </row>
    <row r="509" spans="1:21">
      <c r="A509" t="s">
        <v>1077</v>
      </c>
      <c r="B509" t="s">
        <v>31</v>
      </c>
      <c r="C509" t="s">
        <v>1072</v>
      </c>
      <c r="D509" t="s">
        <v>1078</v>
      </c>
      <c r="E509" t="s">
        <v>1987</v>
      </c>
      <c r="F509" t="s">
        <v>977</v>
      </c>
      <c r="G509" t="s">
        <v>18</v>
      </c>
      <c r="H509">
        <v>2780</v>
      </c>
      <c r="I509">
        <v>2301</v>
      </c>
      <c r="J509">
        <v>269</v>
      </c>
      <c r="K509">
        <v>242</v>
      </c>
      <c r="L509">
        <v>7735064118</v>
      </c>
      <c r="M509">
        <v>24099</v>
      </c>
      <c r="N509">
        <v>320970.34000000003</v>
      </c>
      <c r="O509">
        <v>1140537383</v>
      </c>
      <c r="P509">
        <v>1024471612</v>
      </c>
      <c r="Q509">
        <v>940967580</v>
      </c>
      <c r="R509" t="s">
        <v>1983</v>
      </c>
      <c r="S509" t="s">
        <v>1984</v>
      </c>
      <c r="T509" t="s">
        <v>1985</v>
      </c>
      <c r="U509" t="s">
        <v>1986</v>
      </c>
    </row>
    <row r="510" spans="1:21">
      <c r="A510" t="s">
        <v>2743</v>
      </c>
      <c r="B510" t="s">
        <v>31</v>
      </c>
      <c r="C510" t="s">
        <v>2744</v>
      </c>
      <c r="D510" t="s">
        <v>2745</v>
      </c>
      <c r="E510" t="s">
        <v>1982</v>
      </c>
      <c r="F510" t="s">
        <v>71</v>
      </c>
      <c r="G510" t="s">
        <v>1991</v>
      </c>
      <c r="H510">
        <v>2</v>
      </c>
      <c r="I510">
        <v>5583</v>
      </c>
      <c r="J510">
        <v>6</v>
      </c>
      <c r="K510">
        <v>1</v>
      </c>
      <c r="L510">
        <v>2093968211</v>
      </c>
      <c r="M510">
        <v>167</v>
      </c>
      <c r="N510">
        <v>12538731.800000001</v>
      </c>
      <c r="O510">
        <v>82632131</v>
      </c>
      <c r="P510">
        <v>48662723</v>
      </c>
      <c r="Q510">
        <v>35756560</v>
      </c>
      <c r="R510" t="s">
        <v>1992</v>
      </c>
      <c r="S510" t="s">
        <v>1993</v>
      </c>
      <c r="T510" t="s">
        <v>1994</v>
      </c>
      <c r="U510" t="s">
        <v>1995</v>
      </c>
    </row>
    <row r="511" spans="1:21">
      <c r="A511" t="s">
        <v>584</v>
      </c>
      <c r="B511" t="s">
        <v>31</v>
      </c>
      <c r="C511" t="s">
        <v>585</v>
      </c>
      <c r="D511" t="s">
        <v>586</v>
      </c>
      <c r="E511" t="s">
        <v>1982</v>
      </c>
      <c r="F511" t="s">
        <v>326</v>
      </c>
      <c r="G511" t="s">
        <v>18</v>
      </c>
      <c r="H511">
        <v>300</v>
      </c>
      <c r="I511">
        <v>5284</v>
      </c>
      <c r="J511">
        <v>6</v>
      </c>
      <c r="K511">
        <v>2</v>
      </c>
      <c r="L511">
        <v>2072015086</v>
      </c>
      <c r="M511">
        <v>13357</v>
      </c>
      <c r="N511">
        <v>155125.78</v>
      </c>
      <c r="O511">
        <v>4377043</v>
      </c>
      <c r="P511">
        <v>294320</v>
      </c>
      <c r="Q511">
        <v>79202</v>
      </c>
      <c r="R511" t="s">
        <v>1992</v>
      </c>
      <c r="S511" t="s">
        <v>1993</v>
      </c>
      <c r="T511" t="s">
        <v>1994</v>
      </c>
      <c r="U511" t="s">
        <v>1998</v>
      </c>
    </row>
    <row r="512" spans="1:21">
      <c r="A512" t="s">
        <v>2726</v>
      </c>
      <c r="B512" t="s">
        <v>31</v>
      </c>
      <c r="C512" t="s">
        <v>2727</v>
      </c>
      <c r="D512" t="s">
        <v>2728</v>
      </c>
      <c r="E512" t="s">
        <v>1982</v>
      </c>
      <c r="F512" t="s">
        <v>71</v>
      </c>
      <c r="G512" t="s">
        <v>1991</v>
      </c>
      <c r="H512">
        <v>1</v>
      </c>
      <c r="I512">
        <v>5574</v>
      </c>
      <c r="J512">
        <v>10</v>
      </c>
      <c r="K512">
        <v>7</v>
      </c>
      <c r="L512">
        <v>6136823671</v>
      </c>
      <c r="M512">
        <v>655</v>
      </c>
      <c r="N512">
        <v>9369196.4399999995</v>
      </c>
      <c r="O512">
        <v>135934238</v>
      </c>
      <c r="P512">
        <v>61110153</v>
      </c>
      <c r="Q512">
        <v>20090899</v>
      </c>
      <c r="R512" t="s">
        <v>1992</v>
      </c>
      <c r="S512" t="s">
        <v>1993</v>
      </c>
      <c r="T512" t="s">
        <v>1994</v>
      </c>
      <c r="U512" t="s">
        <v>2636</v>
      </c>
    </row>
    <row r="513" spans="1:21">
      <c r="A513" t="s">
        <v>573</v>
      </c>
      <c r="B513" t="s">
        <v>31</v>
      </c>
      <c r="C513" t="s">
        <v>554</v>
      </c>
      <c r="D513" t="s">
        <v>574</v>
      </c>
      <c r="E513" t="s">
        <v>1987</v>
      </c>
      <c r="F513" t="s">
        <v>524</v>
      </c>
      <c r="G513" t="s">
        <v>18</v>
      </c>
      <c r="H513">
        <v>4535</v>
      </c>
      <c r="I513">
        <v>592</v>
      </c>
      <c r="J513">
        <v>263</v>
      </c>
      <c r="K513">
        <v>202</v>
      </c>
      <c r="L513">
        <v>4252812124</v>
      </c>
      <c r="M513">
        <v>607</v>
      </c>
      <c r="N513">
        <v>7006280.2699999996</v>
      </c>
      <c r="O513">
        <v>676241010</v>
      </c>
      <c r="P513">
        <v>603807353</v>
      </c>
      <c r="Q513">
        <v>521019562</v>
      </c>
      <c r="R513" t="s">
        <v>1983</v>
      </c>
      <c r="S513" t="s">
        <v>1984</v>
      </c>
      <c r="T513" t="s">
        <v>1985</v>
      </c>
      <c r="U513" t="s">
        <v>1986</v>
      </c>
    </row>
    <row r="514" spans="1:21">
      <c r="A514" t="s">
        <v>560</v>
      </c>
      <c r="B514" t="s">
        <v>31</v>
      </c>
      <c r="C514" t="s">
        <v>554</v>
      </c>
      <c r="D514" t="s">
        <v>31</v>
      </c>
      <c r="E514" t="s">
        <v>1987</v>
      </c>
      <c r="F514" t="s">
        <v>524</v>
      </c>
      <c r="G514" t="s">
        <v>18</v>
      </c>
      <c r="H514">
        <v>4549</v>
      </c>
      <c r="I514">
        <v>576</v>
      </c>
      <c r="J514">
        <v>267</v>
      </c>
      <c r="K514">
        <v>200</v>
      </c>
      <c r="L514">
        <v>4225648904</v>
      </c>
      <c r="M514">
        <v>461</v>
      </c>
      <c r="N514">
        <v>9166266.5999999996</v>
      </c>
      <c r="O514">
        <v>657631428</v>
      </c>
      <c r="P514">
        <v>610488678</v>
      </c>
      <c r="Q514">
        <v>521099473</v>
      </c>
      <c r="R514" t="s">
        <v>1983</v>
      </c>
      <c r="S514" t="s">
        <v>1984</v>
      </c>
      <c r="T514" t="s">
        <v>1985</v>
      </c>
      <c r="U514" t="s">
        <v>1986</v>
      </c>
    </row>
    <row r="515" spans="1:21">
      <c r="A515" t="s">
        <v>569</v>
      </c>
      <c r="B515" t="s">
        <v>31</v>
      </c>
      <c r="C515" t="s">
        <v>554</v>
      </c>
      <c r="D515" t="s">
        <v>31</v>
      </c>
      <c r="E515" t="s">
        <v>1987</v>
      </c>
      <c r="F515" t="s">
        <v>524</v>
      </c>
      <c r="G515" t="s">
        <v>18</v>
      </c>
      <c r="H515">
        <v>4534</v>
      </c>
      <c r="I515">
        <v>598</v>
      </c>
      <c r="J515">
        <v>263</v>
      </c>
      <c r="K515">
        <v>197</v>
      </c>
      <c r="L515">
        <v>4260351671</v>
      </c>
      <c r="M515">
        <v>636</v>
      </c>
      <c r="N515">
        <v>6698666.1500000004</v>
      </c>
      <c r="O515">
        <v>663157241</v>
      </c>
      <c r="P515">
        <v>607587567</v>
      </c>
      <c r="Q515">
        <v>521588016</v>
      </c>
      <c r="R515" t="s">
        <v>1983</v>
      </c>
      <c r="S515" t="s">
        <v>1984</v>
      </c>
      <c r="T515" t="s">
        <v>1985</v>
      </c>
      <c r="U515" t="s">
        <v>1986</v>
      </c>
    </row>
    <row r="516" spans="1:21">
      <c r="A516" t="s">
        <v>565</v>
      </c>
      <c r="B516" t="s">
        <v>31</v>
      </c>
      <c r="C516" t="s">
        <v>554</v>
      </c>
      <c r="D516" t="s">
        <v>31</v>
      </c>
      <c r="E516" t="s">
        <v>1987</v>
      </c>
      <c r="F516" t="s">
        <v>524</v>
      </c>
      <c r="G516" t="s">
        <v>18</v>
      </c>
      <c r="H516">
        <v>4531</v>
      </c>
      <c r="I516">
        <v>597</v>
      </c>
      <c r="J516">
        <v>266</v>
      </c>
      <c r="K516">
        <v>198</v>
      </c>
      <c r="L516">
        <v>4263972090</v>
      </c>
      <c r="M516">
        <v>1655</v>
      </c>
      <c r="N516">
        <v>2576418.1800000002</v>
      </c>
      <c r="O516">
        <v>662192201</v>
      </c>
      <c r="P516">
        <v>607896916</v>
      </c>
      <c r="Q516">
        <v>516360598</v>
      </c>
      <c r="R516" t="s">
        <v>1983</v>
      </c>
      <c r="S516" t="s">
        <v>1984</v>
      </c>
      <c r="T516" t="s">
        <v>1985</v>
      </c>
      <c r="U516" t="s">
        <v>1986</v>
      </c>
    </row>
    <row r="517" spans="1:21">
      <c r="A517" t="s">
        <v>2924</v>
      </c>
      <c r="B517" t="s">
        <v>31</v>
      </c>
      <c r="C517" t="s">
        <v>2925</v>
      </c>
      <c r="D517" t="s">
        <v>2926</v>
      </c>
      <c r="E517" t="s">
        <v>1987</v>
      </c>
      <c r="F517" t="s">
        <v>71</v>
      </c>
      <c r="G517" t="s">
        <v>1991</v>
      </c>
      <c r="H517">
        <v>4995</v>
      </c>
      <c r="I517">
        <v>577</v>
      </c>
      <c r="J517">
        <v>13</v>
      </c>
      <c r="K517">
        <v>7</v>
      </c>
      <c r="L517">
        <v>704846194</v>
      </c>
      <c r="M517">
        <v>403</v>
      </c>
      <c r="N517">
        <v>1748998</v>
      </c>
      <c r="O517">
        <v>51952433</v>
      </c>
      <c r="P517">
        <v>9896333</v>
      </c>
      <c r="Q517">
        <v>2164899</v>
      </c>
      <c r="R517" t="s">
        <v>1992</v>
      </c>
      <c r="S517" t="s">
        <v>1993</v>
      </c>
      <c r="T517" t="s">
        <v>1994</v>
      </c>
      <c r="U517" t="s">
        <v>2284</v>
      </c>
    </row>
    <row r="518" spans="1:21">
      <c r="A518" t="s">
        <v>857</v>
      </c>
      <c r="B518" t="s">
        <v>31</v>
      </c>
      <c r="C518" t="s">
        <v>858</v>
      </c>
      <c r="D518" t="s">
        <v>859</v>
      </c>
      <c r="E518" t="s">
        <v>1987</v>
      </c>
      <c r="F518" t="s">
        <v>31</v>
      </c>
      <c r="G518" t="s">
        <v>18</v>
      </c>
      <c r="H518">
        <v>4861</v>
      </c>
      <c r="I518">
        <v>442</v>
      </c>
      <c r="J518">
        <v>192</v>
      </c>
      <c r="K518">
        <v>97</v>
      </c>
      <c r="L518">
        <v>373795655</v>
      </c>
      <c r="M518">
        <v>55</v>
      </c>
      <c r="N518">
        <v>6796284.6399999997</v>
      </c>
      <c r="O518">
        <v>43270923</v>
      </c>
      <c r="P518">
        <v>29958434</v>
      </c>
      <c r="Q518">
        <v>23207287</v>
      </c>
      <c r="R518" t="s">
        <v>1983</v>
      </c>
      <c r="S518" t="s">
        <v>2019</v>
      </c>
      <c r="T518" t="s">
        <v>2020</v>
      </c>
      <c r="U518" t="s">
        <v>2021</v>
      </c>
    </row>
    <row r="519" spans="1:21">
      <c r="A519" t="s">
        <v>1168</v>
      </c>
      <c r="B519" t="s">
        <v>31</v>
      </c>
      <c r="C519" t="s">
        <v>1169</v>
      </c>
      <c r="D519" t="s">
        <v>1170</v>
      </c>
      <c r="E519" t="s">
        <v>1982</v>
      </c>
      <c r="F519" t="s">
        <v>1171</v>
      </c>
      <c r="G519" t="s">
        <v>18</v>
      </c>
      <c r="H519">
        <v>3579</v>
      </c>
      <c r="I519">
        <v>1233</v>
      </c>
      <c r="J519">
        <v>474</v>
      </c>
      <c r="K519">
        <v>306</v>
      </c>
      <c r="L519">
        <v>1797847494</v>
      </c>
      <c r="M519">
        <v>17032</v>
      </c>
      <c r="N519">
        <v>105557.04</v>
      </c>
      <c r="O519">
        <v>16213753</v>
      </c>
      <c r="P519">
        <v>2643565</v>
      </c>
      <c r="Q519">
        <v>72728</v>
      </c>
      <c r="R519" t="s">
        <v>3036</v>
      </c>
      <c r="S519" t="s">
        <v>3412</v>
      </c>
      <c r="T519" t="s">
        <v>3413</v>
      </c>
      <c r="U519" t="s">
        <v>31</v>
      </c>
    </row>
    <row r="520" spans="1:21">
      <c r="A520" t="s">
        <v>1213</v>
      </c>
      <c r="B520" t="s">
        <v>31</v>
      </c>
      <c r="C520" t="s">
        <v>1214</v>
      </c>
      <c r="D520" t="s">
        <v>1215</v>
      </c>
      <c r="E520" t="s">
        <v>1987</v>
      </c>
      <c r="F520" t="s">
        <v>1216</v>
      </c>
      <c r="G520" t="s">
        <v>18</v>
      </c>
      <c r="H520">
        <v>104</v>
      </c>
      <c r="I520">
        <v>5137</v>
      </c>
      <c r="J520">
        <v>204</v>
      </c>
      <c r="K520">
        <v>147</v>
      </c>
      <c r="L520">
        <v>14566502436</v>
      </c>
      <c r="M520">
        <v>91588</v>
      </c>
      <c r="N520">
        <v>159043.79</v>
      </c>
      <c r="O520">
        <v>851934019</v>
      </c>
      <c r="P520">
        <v>713360525</v>
      </c>
      <c r="Q520">
        <v>518332611</v>
      </c>
      <c r="R520" t="s">
        <v>1983</v>
      </c>
      <c r="S520" t="s">
        <v>1984</v>
      </c>
      <c r="T520" t="s">
        <v>1985</v>
      </c>
      <c r="U520" t="s">
        <v>1988</v>
      </c>
    </row>
    <row r="521" spans="1:21">
      <c r="A521" t="s">
        <v>122</v>
      </c>
      <c r="B521" t="s">
        <v>31</v>
      </c>
      <c r="C521" t="s">
        <v>123</v>
      </c>
      <c r="D521" t="s">
        <v>124</v>
      </c>
      <c r="E521" t="s">
        <v>1982</v>
      </c>
      <c r="F521" t="s">
        <v>17</v>
      </c>
      <c r="G521" t="s">
        <v>18</v>
      </c>
      <c r="H521">
        <v>1559</v>
      </c>
      <c r="I521">
        <v>3912</v>
      </c>
      <c r="J521">
        <v>74</v>
      </c>
      <c r="K521">
        <v>47</v>
      </c>
      <c r="L521">
        <v>1659985669</v>
      </c>
      <c r="M521">
        <v>574</v>
      </c>
      <c r="N521">
        <v>2891961.1</v>
      </c>
      <c r="O521">
        <v>99762816</v>
      </c>
      <c r="P521">
        <v>65330863</v>
      </c>
      <c r="Q521">
        <v>45182580</v>
      </c>
      <c r="R521" t="s">
        <v>1983</v>
      </c>
      <c r="S521" t="s">
        <v>2034</v>
      </c>
      <c r="T521" t="s">
        <v>2037</v>
      </c>
      <c r="U521" t="s">
        <v>2038</v>
      </c>
    </row>
    <row r="522" spans="1:21">
      <c r="A522" t="s">
        <v>188</v>
      </c>
      <c r="B522" t="s">
        <v>31</v>
      </c>
      <c r="C522" t="s">
        <v>189</v>
      </c>
      <c r="D522" t="s">
        <v>190</v>
      </c>
      <c r="E522" t="s">
        <v>1982</v>
      </c>
      <c r="F522" t="s">
        <v>17</v>
      </c>
      <c r="G522" t="s">
        <v>18</v>
      </c>
      <c r="H522">
        <v>1905</v>
      </c>
      <c r="I522">
        <v>3448</v>
      </c>
      <c r="J522">
        <v>157</v>
      </c>
      <c r="K522">
        <v>82</v>
      </c>
      <c r="L522">
        <v>850080097</v>
      </c>
      <c r="M522">
        <v>1113</v>
      </c>
      <c r="N522">
        <v>763773.67</v>
      </c>
      <c r="O522">
        <v>41850311</v>
      </c>
      <c r="P522">
        <v>22770748</v>
      </c>
      <c r="Q522">
        <v>13524437</v>
      </c>
      <c r="R522" t="s">
        <v>1983</v>
      </c>
      <c r="S522" t="s">
        <v>2034</v>
      </c>
      <c r="T522" t="s">
        <v>2035</v>
      </c>
      <c r="U522" t="s">
        <v>2039</v>
      </c>
    </row>
    <row r="523" spans="1:21">
      <c r="A523" t="s">
        <v>392</v>
      </c>
      <c r="B523" t="s">
        <v>31</v>
      </c>
      <c r="C523" t="s">
        <v>393</v>
      </c>
      <c r="D523" t="s">
        <v>394</v>
      </c>
      <c r="E523" t="s">
        <v>1982</v>
      </c>
      <c r="F523" t="s">
        <v>17</v>
      </c>
      <c r="G523" t="s">
        <v>18</v>
      </c>
      <c r="H523">
        <v>1341</v>
      </c>
      <c r="I523">
        <v>4145</v>
      </c>
      <c r="J523">
        <v>68</v>
      </c>
      <c r="K523">
        <v>38</v>
      </c>
      <c r="L523">
        <v>1439802532</v>
      </c>
      <c r="M523">
        <v>557</v>
      </c>
      <c r="N523">
        <v>2584923.7599999998</v>
      </c>
      <c r="O523">
        <v>63980008</v>
      </c>
      <c r="P523">
        <v>36311659</v>
      </c>
      <c r="Q523">
        <v>24481934</v>
      </c>
      <c r="R523" t="s">
        <v>1983</v>
      </c>
      <c r="S523" t="s">
        <v>2034</v>
      </c>
      <c r="T523" t="s">
        <v>2035</v>
      </c>
      <c r="U523" t="s">
        <v>2039</v>
      </c>
    </row>
    <row r="524" spans="1:21">
      <c r="A524" t="s">
        <v>516</v>
      </c>
      <c r="B524" t="s">
        <v>31</v>
      </c>
      <c r="C524" t="s">
        <v>517</v>
      </c>
      <c r="D524" t="s">
        <v>518</v>
      </c>
      <c r="E524" t="s">
        <v>1982</v>
      </c>
      <c r="F524" t="s">
        <v>17</v>
      </c>
      <c r="G524" t="s">
        <v>18</v>
      </c>
      <c r="H524">
        <v>2366</v>
      </c>
      <c r="I524">
        <v>2961</v>
      </c>
      <c r="J524">
        <v>168</v>
      </c>
      <c r="K524">
        <v>97</v>
      </c>
      <c r="L524">
        <v>1544625741</v>
      </c>
      <c r="M524">
        <v>2068</v>
      </c>
      <c r="N524">
        <v>746917.67</v>
      </c>
      <c r="O524">
        <v>92025510</v>
      </c>
      <c r="P524">
        <v>54949771</v>
      </c>
      <c r="Q524">
        <v>640281</v>
      </c>
      <c r="R524" t="s">
        <v>1983</v>
      </c>
      <c r="S524" t="s">
        <v>2034</v>
      </c>
      <c r="T524" t="s">
        <v>2035</v>
      </c>
      <c r="U524" t="s">
        <v>2714</v>
      </c>
    </row>
    <row r="525" spans="1:21">
      <c r="A525" t="s">
        <v>578</v>
      </c>
      <c r="B525" t="s">
        <v>31</v>
      </c>
      <c r="C525" t="s">
        <v>579</v>
      </c>
      <c r="D525" t="s">
        <v>580</v>
      </c>
      <c r="E525" t="s">
        <v>1982</v>
      </c>
      <c r="F525" t="s">
        <v>17</v>
      </c>
      <c r="G525" t="s">
        <v>18</v>
      </c>
      <c r="H525">
        <v>1912</v>
      </c>
      <c r="I525">
        <v>3494</v>
      </c>
      <c r="J525">
        <v>106</v>
      </c>
      <c r="K525">
        <v>80</v>
      </c>
      <c r="L525">
        <v>1298054454</v>
      </c>
      <c r="M525">
        <v>116</v>
      </c>
      <c r="N525">
        <v>11190124.6</v>
      </c>
      <c r="O525">
        <v>90419037</v>
      </c>
      <c r="P525">
        <v>54524991</v>
      </c>
      <c r="Q525">
        <v>36156748</v>
      </c>
      <c r="R525" t="s">
        <v>1983</v>
      </c>
      <c r="S525" t="s">
        <v>2034</v>
      </c>
      <c r="T525" t="s">
        <v>2037</v>
      </c>
      <c r="U525" t="s">
        <v>2763</v>
      </c>
    </row>
    <row r="526" spans="1:21">
      <c r="A526" t="s">
        <v>627</v>
      </c>
      <c r="B526" t="s">
        <v>31</v>
      </c>
      <c r="C526" t="s">
        <v>628</v>
      </c>
      <c r="D526" t="s">
        <v>629</v>
      </c>
      <c r="E526" t="s">
        <v>1982</v>
      </c>
      <c r="F526" t="s">
        <v>17</v>
      </c>
      <c r="G526" t="s">
        <v>18</v>
      </c>
      <c r="H526">
        <v>1591</v>
      </c>
      <c r="I526">
        <v>3869</v>
      </c>
      <c r="J526">
        <v>82</v>
      </c>
      <c r="K526">
        <v>50</v>
      </c>
      <c r="L526">
        <v>1077066268</v>
      </c>
      <c r="M526">
        <v>443</v>
      </c>
      <c r="N526">
        <v>2431300.83</v>
      </c>
      <c r="O526">
        <v>49914712</v>
      </c>
      <c r="P526">
        <v>28107628</v>
      </c>
      <c r="Q526">
        <v>18054822</v>
      </c>
      <c r="R526" t="s">
        <v>1983</v>
      </c>
      <c r="S526" t="s">
        <v>2034</v>
      </c>
      <c r="T526" t="s">
        <v>2035</v>
      </c>
      <c r="U526" t="s">
        <v>2036</v>
      </c>
    </row>
    <row r="527" spans="1:21">
      <c r="A527" t="s">
        <v>887</v>
      </c>
      <c r="B527" t="s">
        <v>31</v>
      </c>
      <c r="C527" t="s">
        <v>888</v>
      </c>
      <c r="D527" t="s">
        <v>889</v>
      </c>
      <c r="E527" t="s">
        <v>1982</v>
      </c>
      <c r="F527" t="s">
        <v>17</v>
      </c>
      <c r="G527" t="s">
        <v>18</v>
      </c>
      <c r="H527">
        <v>1818</v>
      </c>
      <c r="I527">
        <v>3653</v>
      </c>
      <c r="J527">
        <v>75</v>
      </c>
      <c r="K527">
        <v>46</v>
      </c>
      <c r="L527">
        <v>1448634548</v>
      </c>
      <c r="M527">
        <v>484</v>
      </c>
      <c r="N527">
        <v>2993046.59</v>
      </c>
      <c r="O527">
        <v>93226672</v>
      </c>
      <c r="P527">
        <v>56749763</v>
      </c>
      <c r="Q527">
        <v>40214457</v>
      </c>
      <c r="R527" t="s">
        <v>1983</v>
      </c>
      <c r="S527" t="s">
        <v>2034</v>
      </c>
      <c r="T527" t="s">
        <v>2035</v>
      </c>
      <c r="U527" t="s">
        <v>2714</v>
      </c>
    </row>
    <row r="528" spans="1:21">
      <c r="A528" t="s">
        <v>679</v>
      </c>
      <c r="B528" t="s">
        <v>31</v>
      </c>
      <c r="C528" t="s">
        <v>680</v>
      </c>
      <c r="D528">
        <v>14001</v>
      </c>
      <c r="E528" t="s">
        <v>1982</v>
      </c>
      <c r="F528" t="s">
        <v>17</v>
      </c>
      <c r="G528" t="s">
        <v>18</v>
      </c>
      <c r="H528">
        <v>4978</v>
      </c>
      <c r="I528">
        <v>418</v>
      </c>
      <c r="J528">
        <v>111</v>
      </c>
      <c r="K528">
        <v>85</v>
      </c>
      <c r="L528">
        <v>639189835</v>
      </c>
      <c r="M528">
        <v>43</v>
      </c>
      <c r="N528">
        <v>14864879.880000001</v>
      </c>
      <c r="O528">
        <v>75520638</v>
      </c>
      <c r="P528">
        <v>57043745</v>
      </c>
      <c r="Q528">
        <v>52139644</v>
      </c>
      <c r="R528" t="s">
        <v>1983</v>
      </c>
      <c r="S528" t="s">
        <v>2034</v>
      </c>
      <c r="T528" t="s">
        <v>3010</v>
      </c>
      <c r="U528" t="s">
        <v>3011</v>
      </c>
    </row>
    <row r="529" spans="1:21">
      <c r="A529" t="s">
        <v>982</v>
      </c>
      <c r="B529" t="s">
        <v>31</v>
      </c>
      <c r="C529" t="s">
        <v>983</v>
      </c>
      <c r="D529" t="s">
        <v>984</v>
      </c>
      <c r="E529" t="s">
        <v>1982</v>
      </c>
      <c r="F529" t="s">
        <v>17</v>
      </c>
      <c r="G529" t="s">
        <v>18</v>
      </c>
      <c r="H529">
        <v>1449</v>
      </c>
      <c r="I529">
        <v>4039</v>
      </c>
      <c r="J529">
        <v>70</v>
      </c>
      <c r="K529">
        <v>34</v>
      </c>
      <c r="L529">
        <v>2034545953</v>
      </c>
      <c r="M529">
        <v>943</v>
      </c>
      <c r="N529">
        <v>2157524.87</v>
      </c>
      <c r="O529">
        <v>127156297</v>
      </c>
      <c r="P529">
        <v>79772726</v>
      </c>
      <c r="Q529">
        <v>45770734</v>
      </c>
      <c r="R529" t="s">
        <v>1983</v>
      </c>
      <c r="S529" t="s">
        <v>2034</v>
      </c>
      <c r="T529" t="s">
        <v>2037</v>
      </c>
      <c r="U529" t="s">
        <v>2038</v>
      </c>
    </row>
    <row r="530" spans="1:21">
      <c r="A530" t="s">
        <v>1033</v>
      </c>
      <c r="B530" t="s">
        <v>31</v>
      </c>
      <c r="C530" t="s">
        <v>1034</v>
      </c>
      <c r="D530">
        <v>14019</v>
      </c>
      <c r="E530" t="s">
        <v>1982</v>
      </c>
      <c r="F530" t="s">
        <v>17</v>
      </c>
      <c r="G530" t="s">
        <v>18</v>
      </c>
      <c r="H530">
        <v>4795</v>
      </c>
      <c r="I530">
        <v>471</v>
      </c>
      <c r="J530">
        <v>176</v>
      </c>
      <c r="K530">
        <v>150</v>
      </c>
      <c r="L530">
        <v>607833752</v>
      </c>
      <c r="M530">
        <v>553</v>
      </c>
      <c r="N530">
        <v>1099156.8799999999</v>
      </c>
      <c r="O530">
        <v>76476036</v>
      </c>
      <c r="P530">
        <v>56583069</v>
      </c>
      <c r="Q530">
        <v>45479425</v>
      </c>
      <c r="R530" t="s">
        <v>1983</v>
      </c>
      <c r="S530" t="s">
        <v>2034</v>
      </c>
      <c r="T530" t="s">
        <v>3010</v>
      </c>
      <c r="U530" t="s">
        <v>3011</v>
      </c>
    </row>
    <row r="531" spans="1:21">
      <c r="A531" t="s">
        <v>1038</v>
      </c>
      <c r="B531" t="s">
        <v>31</v>
      </c>
      <c r="C531" t="s">
        <v>1039</v>
      </c>
      <c r="D531" t="s">
        <v>1040</v>
      </c>
      <c r="E531" t="s">
        <v>1982</v>
      </c>
      <c r="F531" t="s">
        <v>17</v>
      </c>
      <c r="G531" t="s">
        <v>18</v>
      </c>
      <c r="H531">
        <v>2476</v>
      </c>
      <c r="I531">
        <v>2961</v>
      </c>
      <c r="J531">
        <v>83</v>
      </c>
      <c r="K531">
        <v>72</v>
      </c>
      <c r="L531">
        <v>1711783300</v>
      </c>
      <c r="M531">
        <v>134</v>
      </c>
      <c r="N531">
        <v>12774502.24</v>
      </c>
      <c r="O531">
        <v>91162942</v>
      </c>
      <c r="P531">
        <v>70237751</v>
      </c>
      <c r="Q531">
        <v>58979395</v>
      </c>
      <c r="R531" t="s">
        <v>1983</v>
      </c>
      <c r="S531" t="s">
        <v>2034</v>
      </c>
      <c r="T531" t="s">
        <v>2035</v>
      </c>
      <c r="U531" t="s">
        <v>3063</v>
      </c>
    </row>
    <row r="532" spans="1:21">
      <c r="A532" t="s">
        <v>711</v>
      </c>
      <c r="B532" t="s">
        <v>31</v>
      </c>
      <c r="C532" t="s">
        <v>706</v>
      </c>
      <c r="D532" t="s">
        <v>712</v>
      </c>
      <c r="E532" t="s">
        <v>1987</v>
      </c>
      <c r="F532" t="s">
        <v>197</v>
      </c>
      <c r="G532" t="s">
        <v>18</v>
      </c>
      <c r="H532">
        <v>4773</v>
      </c>
      <c r="I532">
        <v>451</v>
      </c>
      <c r="J532">
        <v>273</v>
      </c>
      <c r="K532">
        <v>95</v>
      </c>
      <c r="L532">
        <v>295586303</v>
      </c>
      <c r="M532">
        <v>46663</v>
      </c>
      <c r="N532">
        <v>6334.49</v>
      </c>
      <c r="O532">
        <v>133133</v>
      </c>
      <c r="P532">
        <v>16174</v>
      </c>
      <c r="Q532">
        <v>3164</v>
      </c>
      <c r="R532" t="s">
        <v>1983</v>
      </c>
      <c r="S532" t="s">
        <v>2019</v>
      </c>
      <c r="T532" t="s">
        <v>2020</v>
      </c>
      <c r="U532" t="s">
        <v>2021</v>
      </c>
    </row>
    <row r="533" spans="1:21">
      <c r="A533" t="s">
        <v>1664</v>
      </c>
      <c r="B533" t="s">
        <v>31</v>
      </c>
      <c r="C533" t="s">
        <v>1665</v>
      </c>
      <c r="D533" t="s">
        <v>2059</v>
      </c>
      <c r="E533" t="s">
        <v>1982</v>
      </c>
      <c r="F533" t="s">
        <v>204</v>
      </c>
      <c r="G533" t="s">
        <v>1376</v>
      </c>
      <c r="H533">
        <v>1381</v>
      </c>
      <c r="I533">
        <v>1676</v>
      </c>
      <c r="J533">
        <v>2391</v>
      </c>
      <c r="K533">
        <v>144</v>
      </c>
      <c r="L533">
        <v>16571228226</v>
      </c>
      <c r="M533">
        <v>37325295</v>
      </c>
      <c r="N533">
        <v>443.97</v>
      </c>
      <c r="O533">
        <v>85168</v>
      </c>
      <c r="P533">
        <v>439</v>
      </c>
      <c r="Q533">
        <v>277</v>
      </c>
      <c r="R533" t="s">
        <v>1983</v>
      </c>
      <c r="S533" t="s">
        <v>1984</v>
      </c>
      <c r="T533" t="s">
        <v>2002</v>
      </c>
      <c r="U533" t="s">
        <v>2016</v>
      </c>
    </row>
    <row r="534" spans="1:21">
      <c r="A534" t="s">
        <v>251</v>
      </c>
      <c r="B534" t="s">
        <v>31</v>
      </c>
      <c r="C534" t="s">
        <v>252</v>
      </c>
      <c r="D534" t="s">
        <v>31</v>
      </c>
      <c r="E534" t="s">
        <v>1987</v>
      </c>
      <c r="F534" t="s">
        <v>254</v>
      </c>
      <c r="G534" t="s">
        <v>18</v>
      </c>
      <c r="H534">
        <v>4510</v>
      </c>
      <c r="I534">
        <v>566</v>
      </c>
      <c r="J534">
        <v>291</v>
      </c>
      <c r="K534">
        <v>225</v>
      </c>
      <c r="L534">
        <v>2678566086</v>
      </c>
      <c r="M534">
        <v>251</v>
      </c>
      <c r="N534">
        <v>10671578.029999999</v>
      </c>
      <c r="O534">
        <v>454733196</v>
      </c>
      <c r="P534">
        <v>379526086</v>
      </c>
      <c r="Q534">
        <v>304514070</v>
      </c>
      <c r="R534" t="s">
        <v>1983</v>
      </c>
      <c r="S534" t="s">
        <v>1984</v>
      </c>
      <c r="T534" t="s">
        <v>2006</v>
      </c>
      <c r="U534" t="s">
        <v>2007</v>
      </c>
    </row>
    <row r="535" spans="1:21">
      <c r="A535" t="s">
        <v>591</v>
      </c>
      <c r="B535" t="s">
        <v>31</v>
      </c>
      <c r="C535" t="s">
        <v>592</v>
      </c>
      <c r="D535" t="s">
        <v>31</v>
      </c>
      <c r="E535" t="s">
        <v>1987</v>
      </c>
      <c r="F535" t="s">
        <v>197</v>
      </c>
      <c r="G535" t="s">
        <v>18</v>
      </c>
      <c r="H535">
        <v>4740</v>
      </c>
      <c r="I535">
        <v>430</v>
      </c>
      <c r="J535">
        <v>286</v>
      </c>
      <c r="K535">
        <v>136</v>
      </c>
      <c r="L535">
        <v>266687832</v>
      </c>
      <c r="M535">
        <v>12</v>
      </c>
      <c r="N535">
        <v>22223986</v>
      </c>
      <c r="O535">
        <v>32922458</v>
      </c>
      <c r="P535">
        <v>22540073</v>
      </c>
      <c r="Q535">
        <v>15557830</v>
      </c>
      <c r="R535" t="s">
        <v>1983</v>
      </c>
      <c r="S535" t="s">
        <v>2019</v>
      </c>
      <c r="T535" t="s">
        <v>2020</v>
      </c>
      <c r="U535" t="s">
        <v>2021</v>
      </c>
    </row>
    <row r="536" spans="1:21">
      <c r="A536" t="s">
        <v>668</v>
      </c>
      <c r="B536" t="s">
        <v>31</v>
      </c>
      <c r="C536" t="s">
        <v>669</v>
      </c>
      <c r="D536" t="s">
        <v>670</v>
      </c>
      <c r="E536" t="s">
        <v>1987</v>
      </c>
      <c r="F536" t="s">
        <v>671</v>
      </c>
      <c r="G536" t="s">
        <v>18</v>
      </c>
      <c r="H536">
        <v>3363</v>
      </c>
      <c r="I536">
        <v>2000</v>
      </c>
      <c r="J536">
        <v>117</v>
      </c>
      <c r="K536">
        <v>112</v>
      </c>
      <c r="L536">
        <v>2135834059</v>
      </c>
      <c r="M536">
        <v>746</v>
      </c>
      <c r="N536">
        <v>2863048.34</v>
      </c>
      <c r="O536">
        <v>143973221</v>
      </c>
      <c r="P536">
        <v>112312721</v>
      </c>
      <c r="Q536">
        <v>62217899</v>
      </c>
      <c r="R536" t="s">
        <v>1992</v>
      </c>
      <c r="S536" t="s">
        <v>2012</v>
      </c>
      <c r="T536" t="s">
        <v>2013</v>
      </c>
      <c r="U536" t="s">
        <v>3009</v>
      </c>
    </row>
    <row r="537" spans="1:21">
      <c r="A537" t="s">
        <v>964</v>
      </c>
      <c r="B537" t="s">
        <v>31</v>
      </c>
      <c r="C537" t="s">
        <v>965</v>
      </c>
      <c r="D537" t="s">
        <v>31</v>
      </c>
      <c r="E537" t="s">
        <v>1982</v>
      </c>
      <c r="F537" t="s">
        <v>254</v>
      </c>
      <c r="G537" t="s">
        <v>18</v>
      </c>
      <c r="H537">
        <v>1663</v>
      </c>
      <c r="I537">
        <v>3894</v>
      </c>
      <c r="J537">
        <v>25</v>
      </c>
      <c r="K537">
        <v>10</v>
      </c>
      <c r="L537">
        <v>849281002</v>
      </c>
      <c r="M537">
        <v>41</v>
      </c>
      <c r="N537">
        <v>20714170.780000001</v>
      </c>
      <c r="O537">
        <v>56433568</v>
      </c>
      <c r="P537">
        <v>35123032</v>
      </c>
      <c r="Q537">
        <v>26029537</v>
      </c>
      <c r="R537" t="s">
        <v>1992</v>
      </c>
      <c r="S537" t="s">
        <v>2022</v>
      </c>
      <c r="T537" t="s">
        <v>2023</v>
      </c>
      <c r="U537" t="s">
        <v>2024</v>
      </c>
    </row>
    <row r="538" spans="1:21">
      <c r="A538" t="s">
        <v>970</v>
      </c>
      <c r="B538" t="s">
        <v>31</v>
      </c>
      <c r="C538" t="s">
        <v>965</v>
      </c>
      <c r="D538" t="s">
        <v>31</v>
      </c>
      <c r="E538" t="s">
        <v>1982</v>
      </c>
      <c r="F538" t="s">
        <v>254</v>
      </c>
      <c r="G538" t="s">
        <v>18</v>
      </c>
      <c r="H538">
        <v>1906</v>
      </c>
      <c r="I538">
        <v>3603</v>
      </c>
      <c r="J538">
        <v>57</v>
      </c>
      <c r="K538">
        <v>26</v>
      </c>
      <c r="L538">
        <v>809113579</v>
      </c>
      <c r="M538">
        <v>1731</v>
      </c>
      <c r="N538">
        <v>467425.52</v>
      </c>
      <c r="O538">
        <v>8619502</v>
      </c>
      <c r="P538">
        <v>1772398</v>
      </c>
      <c r="Q538">
        <v>426562</v>
      </c>
      <c r="R538" t="s">
        <v>1992</v>
      </c>
      <c r="S538" t="s">
        <v>2022</v>
      </c>
      <c r="T538" t="s">
        <v>2023</v>
      </c>
      <c r="U538" t="s">
        <v>2024</v>
      </c>
    </row>
    <row r="539" spans="1:21">
      <c r="A539" t="s">
        <v>1276</v>
      </c>
      <c r="B539" t="s">
        <v>31</v>
      </c>
      <c r="C539" t="s">
        <v>1270</v>
      </c>
      <c r="D539" t="s">
        <v>1271</v>
      </c>
      <c r="E539" t="s">
        <v>1987</v>
      </c>
      <c r="F539" t="s">
        <v>1272</v>
      </c>
      <c r="G539" t="s">
        <v>18</v>
      </c>
      <c r="H539">
        <v>3468</v>
      </c>
      <c r="I539">
        <v>1895</v>
      </c>
      <c r="J539">
        <v>112</v>
      </c>
      <c r="K539">
        <v>117</v>
      </c>
      <c r="L539">
        <v>2589077426</v>
      </c>
      <c r="M539">
        <v>451</v>
      </c>
      <c r="N539">
        <v>5740748.1699999999</v>
      </c>
      <c r="O539">
        <v>303046324</v>
      </c>
      <c r="P539">
        <v>213150644</v>
      </c>
      <c r="Q539">
        <v>159154124</v>
      </c>
      <c r="R539" t="s">
        <v>1992</v>
      </c>
      <c r="S539" t="s">
        <v>2012</v>
      </c>
      <c r="T539" t="s">
        <v>2013</v>
      </c>
      <c r="U539" t="s">
        <v>3009</v>
      </c>
    </row>
    <row r="540" spans="1:21">
      <c r="A540" t="s">
        <v>385</v>
      </c>
      <c r="B540" t="s">
        <v>31</v>
      </c>
      <c r="C540" t="s">
        <v>386</v>
      </c>
      <c r="D540" t="s">
        <v>387</v>
      </c>
      <c r="E540" t="s">
        <v>1982</v>
      </c>
      <c r="F540" t="s">
        <v>79</v>
      </c>
      <c r="G540" t="s">
        <v>18</v>
      </c>
      <c r="H540">
        <v>52</v>
      </c>
      <c r="I540">
        <v>5447</v>
      </c>
      <c r="J540">
        <v>60</v>
      </c>
      <c r="K540">
        <v>33</v>
      </c>
      <c r="L540">
        <v>2748733734</v>
      </c>
      <c r="M540">
        <v>411</v>
      </c>
      <c r="N540">
        <v>6687916.6299999999</v>
      </c>
      <c r="O540">
        <v>65826467</v>
      </c>
      <c r="P540">
        <v>39208460</v>
      </c>
      <c r="Q540">
        <v>28221688</v>
      </c>
      <c r="R540" t="s">
        <v>1983</v>
      </c>
      <c r="S540" t="s">
        <v>2034</v>
      </c>
      <c r="T540" t="s">
        <v>2035</v>
      </c>
      <c r="U540" t="s">
        <v>2039</v>
      </c>
    </row>
    <row r="541" spans="1:21">
      <c r="A541" t="s">
        <v>3094</v>
      </c>
      <c r="B541" t="s">
        <v>3095</v>
      </c>
      <c r="C541" t="s">
        <v>3096</v>
      </c>
      <c r="D541" t="s">
        <v>3097</v>
      </c>
      <c r="E541" t="s">
        <v>31</v>
      </c>
      <c r="F541" t="s">
        <v>204</v>
      </c>
      <c r="G541" t="s">
        <v>1991</v>
      </c>
      <c r="H541">
        <v>5325</v>
      </c>
      <c r="I541">
        <v>107</v>
      </c>
      <c r="J541">
        <v>156</v>
      </c>
      <c r="K541">
        <v>4</v>
      </c>
      <c r="L541">
        <v>2064726223</v>
      </c>
      <c r="M541">
        <v>3599935</v>
      </c>
      <c r="N541">
        <v>573.54999999999995</v>
      </c>
      <c r="O541">
        <v>97840</v>
      </c>
      <c r="P541">
        <v>763</v>
      </c>
      <c r="Q541">
        <v>238</v>
      </c>
      <c r="R541" t="s">
        <v>1992</v>
      </c>
      <c r="S541" t="s">
        <v>1993</v>
      </c>
      <c r="T541" t="s">
        <v>1994</v>
      </c>
      <c r="U541" t="s">
        <v>2446</v>
      </c>
    </row>
    <row r="542" spans="1:21">
      <c r="A542" t="s">
        <v>3483</v>
      </c>
      <c r="B542" t="s">
        <v>3484</v>
      </c>
      <c r="C542" t="s">
        <v>3485</v>
      </c>
      <c r="D542" t="s">
        <v>3486</v>
      </c>
      <c r="E542" t="s">
        <v>1982</v>
      </c>
      <c r="F542" t="s">
        <v>204</v>
      </c>
      <c r="G542" t="s">
        <v>1991</v>
      </c>
      <c r="H542">
        <v>2497</v>
      </c>
      <c r="I542">
        <v>1603</v>
      </c>
      <c r="J542">
        <v>1492</v>
      </c>
      <c r="K542">
        <v>0</v>
      </c>
      <c r="L542">
        <v>4275534457</v>
      </c>
      <c r="M542">
        <v>6571216</v>
      </c>
      <c r="N542">
        <v>650.65</v>
      </c>
      <c r="O542">
        <v>41720</v>
      </c>
      <c r="P542">
        <v>868</v>
      </c>
      <c r="Q542">
        <v>310</v>
      </c>
      <c r="R542" t="s">
        <v>1992</v>
      </c>
      <c r="S542" t="s">
        <v>1993</v>
      </c>
      <c r="T542" t="s">
        <v>1994</v>
      </c>
      <c r="U542" t="s">
        <v>3460</v>
      </c>
    </row>
    <row r="543" spans="1:21">
      <c r="A543" t="s">
        <v>2677</v>
      </c>
      <c r="B543" t="s">
        <v>2678</v>
      </c>
      <c r="C543" t="s">
        <v>2679</v>
      </c>
      <c r="D543" t="s">
        <v>2680</v>
      </c>
      <c r="E543" t="s">
        <v>1987</v>
      </c>
      <c r="F543" t="s">
        <v>204</v>
      </c>
      <c r="G543" t="s">
        <v>1991</v>
      </c>
      <c r="H543">
        <v>5428</v>
      </c>
      <c r="I543">
        <v>78</v>
      </c>
      <c r="J543">
        <v>80</v>
      </c>
      <c r="K543">
        <v>6</v>
      </c>
      <c r="L543">
        <v>544006628</v>
      </c>
      <c r="M543">
        <v>487206</v>
      </c>
      <c r="N543">
        <v>1116.58</v>
      </c>
      <c r="O543">
        <v>344694</v>
      </c>
      <c r="P543">
        <v>12891</v>
      </c>
      <c r="Q543">
        <v>283</v>
      </c>
      <c r="R543" t="s">
        <v>1992</v>
      </c>
      <c r="S543" t="s">
        <v>1993</v>
      </c>
      <c r="T543" t="s">
        <v>1994</v>
      </c>
      <c r="U543" t="s">
        <v>1995</v>
      </c>
    </row>
    <row r="544" spans="1:21">
      <c r="A544" t="s">
        <v>3042</v>
      </c>
      <c r="B544" t="s">
        <v>3043</v>
      </c>
      <c r="C544" t="s">
        <v>3044</v>
      </c>
      <c r="D544" t="s">
        <v>3045</v>
      </c>
      <c r="E544" t="s">
        <v>1982</v>
      </c>
      <c r="F544" t="s">
        <v>204</v>
      </c>
      <c r="G544" t="s">
        <v>1991</v>
      </c>
      <c r="H544">
        <v>4439</v>
      </c>
      <c r="I544">
        <v>405</v>
      </c>
      <c r="J544">
        <v>740</v>
      </c>
      <c r="K544">
        <v>8</v>
      </c>
      <c r="L544">
        <v>4607418356</v>
      </c>
      <c r="M544">
        <v>8503161</v>
      </c>
      <c r="N544">
        <v>541.85</v>
      </c>
      <c r="O544">
        <v>79296</v>
      </c>
      <c r="P544">
        <v>590</v>
      </c>
      <c r="Q544">
        <v>283</v>
      </c>
      <c r="R544" t="s">
        <v>1992</v>
      </c>
      <c r="S544" t="s">
        <v>1993</v>
      </c>
      <c r="T544" t="s">
        <v>1994</v>
      </c>
      <c r="U544" t="s">
        <v>3046</v>
      </c>
    </row>
    <row r="545" spans="1:21">
      <c r="A545" t="s">
        <v>2760</v>
      </c>
      <c r="B545" t="s">
        <v>2761</v>
      </c>
      <c r="C545" t="s">
        <v>2758</v>
      </c>
      <c r="D545" t="s">
        <v>2762</v>
      </c>
      <c r="E545" t="s">
        <v>1982</v>
      </c>
      <c r="F545" t="s">
        <v>204</v>
      </c>
      <c r="G545" t="s">
        <v>1991</v>
      </c>
      <c r="H545">
        <v>3662</v>
      </c>
      <c r="I545">
        <v>839</v>
      </c>
      <c r="J545">
        <v>1087</v>
      </c>
      <c r="K545">
        <v>4</v>
      </c>
      <c r="L545">
        <v>2922364674</v>
      </c>
      <c r="M545">
        <v>6164429</v>
      </c>
      <c r="N545">
        <v>474.07</v>
      </c>
      <c r="O545">
        <v>66418</v>
      </c>
      <c r="P545">
        <v>475</v>
      </c>
      <c r="Q545">
        <v>237</v>
      </c>
      <c r="R545" t="s">
        <v>1992</v>
      </c>
      <c r="S545" t="s">
        <v>1993</v>
      </c>
      <c r="T545" t="s">
        <v>1994</v>
      </c>
      <c r="U545" t="s">
        <v>1995</v>
      </c>
    </row>
    <row r="546" spans="1:21">
      <c r="A546" t="s">
        <v>3104</v>
      </c>
      <c r="B546" t="s">
        <v>3105</v>
      </c>
      <c r="C546" t="s">
        <v>3106</v>
      </c>
      <c r="D546" t="s">
        <v>3107</v>
      </c>
      <c r="E546" t="s">
        <v>1987</v>
      </c>
      <c r="F546" t="s">
        <v>204</v>
      </c>
      <c r="G546" t="s">
        <v>1991</v>
      </c>
      <c r="H546">
        <v>5445</v>
      </c>
      <c r="I546">
        <v>74</v>
      </c>
      <c r="J546">
        <v>70</v>
      </c>
      <c r="K546">
        <v>3</v>
      </c>
      <c r="L546">
        <v>941662787</v>
      </c>
      <c r="M546">
        <v>980321</v>
      </c>
      <c r="N546">
        <v>960.57</v>
      </c>
      <c r="O546">
        <v>283733</v>
      </c>
      <c r="P546">
        <v>8736</v>
      </c>
      <c r="Q546">
        <v>283</v>
      </c>
      <c r="R546" t="s">
        <v>1992</v>
      </c>
      <c r="S546" t="s">
        <v>1993</v>
      </c>
      <c r="T546" t="s">
        <v>1994</v>
      </c>
      <c r="U546" t="s">
        <v>2446</v>
      </c>
    </row>
    <row r="547" spans="1:21">
      <c r="A547" t="s">
        <v>2950</v>
      </c>
      <c r="B547" t="s">
        <v>2951</v>
      </c>
      <c r="C547" t="s">
        <v>2952</v>
      </c>
      <c r="D547" t="s">
        <v>2953</v>
      </c>
      <c r="E547" t="s">
        <v>1982</v>
      </c>
      <c r="F547" t="s">
        <v>204</v>
      </c>
      <c r="G547" t="s">
        <v>1991</v>
      </c>
      <c r="H547">
        <v>4516</v>
      </c>
      <c r="I547">
        <v>402</v>
      </c>
      <c r="J547">
        <v>671</v>
      </c>
      <c r="K547">
        <v>3</v>
      </c>
      <c r="L547">
        <v>1585309797</v>
      </c>
      <c r="M547">
        <v>3387375</v>
      </c>
      <c r="N547">
        <v>468.01</v>
      </c>
      <c r="O547">
        <v>76718</v>
      </c>
      <c r="P547">
        <v>454</v>
      </c>
      <c r="Q547">
        <v>231</v>
      </c>
      <c r="R547" t="s">
        <v>1992</v>
      </c>
      <c r="S547" t="s">
        <v>1993</v>
      </c>
      <c r="T547" t="s">
        <v>1994</v>
      </c>
      <c r="U547" t="s">
        <v>31</v>
      </c>
    </row>
    <row r="548" spans="1:21">
      <c r="A548" t="s">
        <v>3464</v>
      </c>
      <c r="B548" t="s">
        <v>3465</v>
      </c>
      <c r="C548" t="s">
        <v>3462</v>
      </c>
      <c r="D548" t="s">
        <v>3466</v>
      </c>
      <c r="E548" t="s">
        <v>1982</v>
      </c>
      <c r="F548" t="s">
        <v>204</v>
      </c>
      <c r="G548" t="s">
        <v>1991</v>
      </c>
      <c r="H548">
        <v>3373</v>
      </c>
      <c r="I548">
        <v>1463</v>
      </c>
      <c r="J548">
        <v>755</v>
      </c>
      <c r="K548">
        <v>1</v>
      </c>
      <c r="L548">
        <v>4331462041</v>
      </c>
      <c r="M548">
        <v>7017257</v>
      </c>
      <c r="N548">
        <v>617.26</v>
      </c>
      <c r="O548">
        <v>141873</v>
      </c>
      <c r="P548">
        <v>757</v>
      </c>
      <c r="Q548">
        <v>308</v>
      </c>
      <c r="R548" t="s">
        <v>1992</v>
      </c>
      <c r="S548" t="s">
        <v>1993</v>
      </c>
      <c r="T548" t="s">
        <v>1994</v>
      </c>
      <c r="U548" t="s">
        <v>3460</v>
      </c>
    </row>
    <row r="549" spans="1:21">
      <c r="A549" t="s">
        <v>2736</v>
      </c>
      <c r="B549" t="s">
        <v>2737</v>
      </c>
      <c r="C549" t="s">
        <v>2738</v>
      </c>
      <c r="D549" t="s">
        <v>2739</v>
      </c>
      <c r="E549" t="s">
        <v>1982</v>
      </c>
      <c r="F549" t="s">
        <v>204</v>
      </c>
      <c r="G549" t="s">
        <v>1991</v>
      </c>
      <c r="H549">
        <v>5470</v>
      </c>
      <c r="I549">
        <v>24</v>
      </c>
      <c r="J549">
        <v>98</v>
      </c>
      <c r="K549">
        <v>0</v>
      </c>
      <c r="L549">
        <v>777265955</v>
      </c>
      <c r="M549">
        <v>1052736</v>
      </c>
      <c r="N549">
        <v>738.33</v>
      </c>
      <c r="O549">
        <v>127467</v>
      </c>
      <c r="P549">
        <v>2982</v>
      </c>
      <c r="Q549">
        <v>252</v>
      </c>
      <c r="R549" t="s">
        <v>1992</v>
      </c>
      <c r="S549" t="s">
        <v>1993</v>
      </c>
      <c r="T549" t="s">
        <v>1994</v>
      </c>
      <c r="U549" t="s">
        <v>2011</v>
      </c>
    </row>
    <row r="550" spans="1:21">
      <c r="A550" t="s">
        <v>3499</v>
      </c>
      <c r="B550" t="s">
        <v>3500</v>
      </c>
      <c r="C550" t="s">
        <v>3501</v>
      </c>
      <c r="D550" t="s">
        <v>3502</v>
      </c>
      <c r="E550" t="s">
        <v>1982</v>
      </c>
      <c r="F550" t="s">
        <v>204</v>
      </c>
      <c r="G550" t="s">
        <v>1991</v>
      </c>
      <c r="H550">
        <v>3096</v>
      </c>
      <c r="I550">
        <v>138</v>
      </c>
      <c r="J550">
        <v>2343</v>
      </c>
      <c r="K550">
        <v>15</v>
      </c>
      <c r="L550">
        <v>3255429767</v>
      </c>
      <c r="M550">
        <v>5093075</v>
      </c>
      <c r="N550">
        <v>639.19000000000005</v>
      </c>
      <c r="O550">
        <v>59937</v>
      </c>
      <c r="P550">
        <v>768</v>
      </c>
      <c r="Q550">
        <v>322</v>
      </c>
      <c r="R550" t="s">
        <v>1992</v>
      </c>
      <c r="S550" t="s">
        <v>1993</v>
      </c>
      <c r="T550" t="s">
        <v>1994</v>
      </c>
      <c r="U550" t="s">
        <v>3015</v>
      </c>
    </row>
    <row r="551" spans="1:21">
      <c r="A551" t="s">
        <v>2859</v>
      </c>
      <c r="B551" t="s">
        <v>2860</v>
      </c>
      <c r="C551" t="s">
        <v>2861</v>
      </c>
      <c r="D551" t="s">
        <v>2862</v>
      </c>
      <c r="E551" t="s">
        <v>1982</v>
      </c>
      <c r="F551" t="s">
        <v>204</v>
      </c>
      <c r="G551" t="s">
        <v>1991</v>
      </c>
      <c r="H551">
        <v>3705</v>
      </c>
      <c r="I551">
        <v>662</v>
      </c>
      <c r="J551">
        <v>1220</v>
      </c>
      <c r="K551">
        <v>5</v>
      </c>
      <c r="L551">
        <v>1416061279</v>
      </c>
      <c r="M551">
        <v>2601299</v>
      </c>
      <c r="N551">
        <v>544.37</v>
      </c>
      <c r="O551">
        <v>47261</v>
      </c>
      <c r="P551">
        <v>704</v>
      </c>
      <c r="Q551">
        <v>245</v>
      </c>
      <c r="R551" t="s">
        <v>1992</v>
      </c>
      <c r="S551" t="s">
        <v>1993</v>
      </c>
      <c r="T551" t="s">
        <v>1994</v>
      </c>
      <c r="U551" t="s">
        <v>1998</v>
      </c>
    </row>
    <row r="552" spans="1:21">
      <c r="A552" t="s">
        <v>3114</v>
      </c>
      <c r="B552" t="s">
        <v>3115</v>
      </c>
      <c r="C552" t="s">
        <v>3116</v>
      </c>
      <c r="D552" t="s">
        <v>3117</v>
      </c>
      <c r="E552" t="s">
        <v>31</v>
      </c>
      <c r="F552" t="s">
        <v>204</v>
      </c>
      <c r="G552" t="s">
        <v>1991</v>
      </c>
      <c r="H552">
        <v>4905</v>
      </c>
      <c r="I552">
        <v>96</v>
      </c>
      <c r="J552">
        <v>585</v>
      </c>
      <c r="K552">
        <v>6</v>
      </c>
      <c r="L552">
        <v>1790494699</v>
      </c>
      <c r="M552">
        <v>3235071</v>
      </c>
      <c r="N552">
        <v>553.46</v>
      </c>
      <c r="O552">
        <v>55472</v>
      </c>
      <c r="P552">
        <v>717</v>
      </c>
      <c r="Q552">
        <v>236</v>
      </c>
      <c r="R552" t="s">
        <v>1992</v>
      </c>
      <c r="S552" t="s">
        <v>1993</v>
      </c>
      <c r="T552" t="s">
        <v>1994</v>
      </c>
      <c r="U552" t="s">
        <v>2446</v>
      </c>
    </row>
    <row r="553" spans="1:21">
      <c r="A553" t="s">
        <v>2700</v>
      </c>
      <c r="B553" t="s">
        <v>2701</v>
      </c>
      <c r="C553" t="s">
        <v>2702</v>
      </c>
      <c r="D553" t="s">
        <v>2703</v>
      </c>
      <c r="E553" t="s">
        <v>1982</v>
      </c>
      <c r="F553" t="s">
        <v>204</v>
      </c>
      <c r="G553" t="s">
        <v>1991</v>
      </c>
      <c r="H553">
        <v>4722</v>
      </c>
      <c r="I553">
        <v>409</v>
      </c>
      <c r="J553">
        <v>460</v>
      </c>
      <c r="K553">
        <v>1</v>
      </c>
      <c r="L553">
        <v>1987969648</v>
      </c>
      <c r="M553">
        <v>3996890</v>
      </c>
      <c r="N553">
        <v>497.38</v>
      </c>
      <c r="O553">
        <v>72267</v>
      </c>
      <c r="P553">
        <v>504</v>
      </c>
      <c r="Q553">
        <v>239</v>
      </c>
      <c r="R553" t="s">
        <v>1992</v>
      </c>
      <c r="S553" t="s">
        <v>1993</v>
      </c>
      <c r="T553" t="s">
        <v>1994</v>
      </c>
      <c r="U553" t="s">
        <v>2284</v>
      </c>
    </row>
    <row r="554" spans="1:21">
      <c r="A554" t="s">
        <v>3118</v>
      </c>
      <c r="B554" t="s">
        <v>3119</v>
      </c>
      <c r="C554" t="s">
        <v>3120</v>
      </c>
      <c r="D554" t="s">
        <v>3121</v>
      </c>
      <c r="E554" t="s">
        <v>31</v>
      </c>
      <c r="F554" t="s">
        <v>204</v>
      </c>
      <c r="G554" t="s">
        <v>1991</v>
      </c>
      <c r="H554">
        <v>5126</v>
      </c>
      <c r="I554">
        <v>101</v>
      </c>
      <c r="J554">
        <v>362</v>
      </c>
      <c r="K554">
        <v>3</v>
      </c>
      <c r="L554">
        <v>1564636828</v>
      </c>
      <c r="M554">
        <v>2665932</v>
      </c>
      <c r="N554">
        <v>586.9</v>
      </c>
      <c r="O554">
        <v>82439</v>
      </c>
      <c r="P554">
        <v>999</v>
      </c>
      <c r="Q554">
        <v>238</v>
      </c>
      <c r="R554" t="s">
        <v>1992</v>
      </c>
      <c r="S554" t="s">
        <v>1993</v>
      </c>
      <c r="T554" t="s">
        <v>1994</v>
      </c>
      <c r="U554" t="s">
        <v>2446</v>
      </c>
    </row>
    <row r="555" spans="1:21">
      <c r="A555" t="s">
        <v>3450</v>
      </c>
      <c r="B555" t="s">
        <v>3451</v>
      </c>
      <c r="C555" t="s">
        <v>3452</v>
      </c>
      <c r="D555" t="s">
        <v>3453</v>
      </c>
      <c r="E555" t="s">
        <v>1982</v>
      </c>
      <c r="F555" t="s">
        <v>204</v>
      </c>
      <c r="G555" t="s">
        <v>1991</v>
      </c>
      <c r="H555">
        <v>5072</v>
      </c>
      <c r="I555">
        <v>199</v>
      </c>
      <c r="J555">
        <v>318</v>
      </c>
      <c r="K555">
        <v>3</v>
      </c>
      <c r="L555">
        <v>1005000469</v>
      </c>
      <c r="M555">
        <v>1699691</v>
      </c>
      <c r="N555">
        <v>591.28</v>
      </c>
      <c r="O555">
        <v>94211</v>
      </c>
      <c r="P555">
        <v>1045</v>
      </c>
      <c r="Q555">
        <v>239</v>
      </c>
      <c r="R555" t="s">
        <v>1992</v>
      </c>
      <c r="S555" t="s">
        <v>1993</v>
      </c>
      <c r="T555" t="s">
        <v>1994</v>
      </c>
      <c r="U555" t="s">
        <v>2289</v>
      </c>
    </row>
    <row r="556" spans="1:21">
      <c r="A556" t="s">
        <v>3017</v>
      </c>
      <c r="B556" t="s">
        <v>3018</v>
      </c>
      <c r="C556" t="s">
        <v>3019</v>
      </c>
      <c r="D556" t="s">
        <v>3020</v>
      </c>
      <c r="E556" t="s">
        <v>1982</v>
      </c>
      <c r="F556" t="s">
        <v>204</v>
      </c>
      <c r="G556" t="s">
        <v>1991</v>
      </c>
      <c r="H556">
        <v>5295</v>
      </c>
      <c r="I556">
        <v>76</v>
      </c>
      <c r="J556">
        <v>219</v>
      </c>
      <c r="K556">
        <v>2</v>
      </c>
      <c r="L556">
        <v>970862040</v>
      </c>
      <c r="M556">
        <v>1364948</v>
      </c>
      <c r="N556">
        <v>711.28</v>
      </c>
      <c r="O556">
        <v>325764</v>
      </c>
      <c r="P556">
        <v>1281</v>
      </c>
      <c r="Q556">
        <v>278</v>
      </c>
      <c r="R556" t="s">
        <v>1992</v>
      </c>
      <c r="S556" t="s">
        <v>1993</v>
      </c>
      <c r="T556" t="s">
        <v>1994</v>
      </c>
      <c r="U556" t="s">
        <v>31</v>
      </c>
    </row>
    <row r="557" spans="1:21">
      <c r="A557" t="s">
        <v>2637</v>
      </c>
      <c r="B557" t="s">
        <v>2638</v>
      </c>
      <c r="C557" t="s">
        <v>2639</v>
      </c>
      <c r="D557" t="s">
        <v>2640</v>
      </c>
      <c r="E557" t="s">
        <v>1982</v>
      </c>
      <c r="F557" t="s">
        <v>204</v>
      </c>
      <c r="G557" t="s">
        <v>1991</v>
      </c>
      <c r="H557">
        <v>2682</v>
      </c>
      <c r="I557">
        <v>2640</v>
      </c>
      <c r="J557">
        <v>268</v>
      </c>
      <c r="K557">
        <v>2</v>
      </c>
      <c r="L557">
        <v>2263376783</v>
      </c>
      <c r="M557">
        <v>3460943</v>
      </c>
      <c r="N557">
        <v>653.98</v>
      </c>
      <c r="O557">
        <v>62051</v>
      </c>
      <c r="P557">
        <v>1054</v>
      </c>
      <c r="Q557">
        <v>276</v>
      </c>
      <c r="R557" t="s">
        <v>1992</v>
      </c>
      <c r="S557" t="s">
        <v>1993</v>
      </c>
      <c r="T557" t="s">
        <v>1994</v>
      </c>
      <c r="U557" t="s">
        <v>2636</v>
      </c>
    </row>
    <row r="558" spans="1:21">
      <c r="A558" t="s">
        <v>3521</v>
      </c>
      <c r="B558" t="s">
        <v>3522</v>
      </c>
      <c r="C558" t="s">
        <v>3514</v>
      </c>
      <c r="D558" t="s">
        <v>3523</v>
      </c>
      <c r="E558" t="s">
        <v>1982</v>
      </c>
      <c r="F558" t="s">
        <v>204</v>
      </c>
      <c r="G558" t="s">
        <v>1991</v>
      </c>
      <c r="H558">
        <v>2945</v>
      </c>
      <c r="I558">
        <v>848</v>
      </c>
      <c r="J558">
        <v>1798</v>
      </c>
      <c r="K558">
        <v>1</v>
      </c>
      <c r="L558">
        <v>2238333222</v>
      </c>
      <c r="M558">
        <v>3761697</v>
      </c>
      <c r="N558">
        <v>595.03</v>
      </c>
      <c r="O558">
        <v>44837</v>
      </c>
      <c r="P558">
        <v>752</v>
      </c>
      <c r="Q558">
        <v>283</v>
      </c>
      <c r="R558" t="s">
        <v>1992</v>
      </c>
      <c r="S558" t="s">
        <v>1993</v>
      </c>
      <c r="T558" t="s">
        <v>1994</v>
      </c>
      <c r="U558" t="s">
        <v>3460</v>
      </c>
    </row>
    <row r="559" spans="1:21">
      <c r="A559" t="s">
        <v>2900</v>
      </c>
      <c r="B559" t="s">
        <v>2901</v>
      </c>
      <c r="C559" t="s">
        <v>2902</v>
      </c>
      <c r="D559" t="s">
        <v>2903</v>
      </c>
      <c r="E559" t="s">
        <v>1982</v>
      </c>
      <c r="F559" t="s">
        <v>204</v>
      </c>
      <c r="G559" t="s">
        <v>1991</v>
      </c>
      <c r="H559">
        <v>1785</v>
      </c>
      <c r="I559">
        <v>2618</v>
      </c>
      <c r="J559">
        <v>1188</v>
      </c>
      <c r="K559">
        <v>1</v>
      </c>
      <c r="L559">
        <v>1424420257</v>
      </c>
      <c r="M559">
        <v>1431508</v>
      </c>
      <c r="N559">
        <v>995.05</v>
      </c>
      <c r="O559">
        <v>88909</v>
      </c>
      <c r="P559">
        <v>2775</v>
      </c>
      <c r="Q559">
        <v>312</v>
      </c>
      <c r="R559" t="s">
        <v>1992</v>
      </c>
      <c r="S559" t="s">
        <v>1993</v>
      </c>
      <c r="T559" t="s">
        <v>1994</v>
      </c>
      <c r="U559" t="s">
        <v>2284</v>
      </c>
    </row>
    <row r="560" spans="1:21">
      <c r="A560" t="s">
        <v>2641</v>
      </c>
      <c r="B560" t="s">
        <v>2642</v>
      </c>
      <c r="C560" t="s">
        <v>2643</v>
      </c>
      <c r="D560" t="s">
        <v>2644</v>
      </c>
      <c r="E560" t="s">
        <v>1982</v>
      </c>
      <c r="F560" t="s">
        <v>204</v>
      </c>
      <c r="G560" t="s">
        <v>1991</v>
      </c>
      <c r="H560">
        <v>4442</v>
      </c>
      <c r="I560">
        <v>493</v>
      </c>
      <c r="J560">
        <v>648</v>
      </c>
      <c r="K560">
        <v>9</v>
      </c>
      <c r="L560">
        <v>2087277582</v>
      </c>
      <c r="M560">
        <v>4681184</v>
      </c>
      <c r="N560">
        <v>445.89</v>
      </c>
      <c r="O560">
        <v>59997</v>
      </c>
      <c r="P560">
        <v>418</v>
      </c>
      <c r="Q560">
        <v>230</v>
      </c>
      <c r="R560" t="s">
        <v>1992</v>
      </c>
      <c r="S560" t="s">
        <v>1993</v>
      </c>
      <c r="T560" t="s">
        <v>1994</v>
      </c>
      <c r="U560" t="s">
        <v>2636</v>
      </c>
    </row>
    <row r="561" spans="1:21">
      <c r="A561" t="s">
        <v>3446</v>
      </c>
      <c r="B561" t="s">
        <v>3447</v>
      </c>
      <c r="C561" t="s">
        <v>3448</v>
      </c>
      <c r="D561" t="s">
        <v>3449</v>
      </c>
      <c r="E561" t="s">
        <v>1982</v>
      </c>
      <c r="F561" t="s">
        <v>204</v>
      </c>
      <c r="G561" t="s">
        <v>1991</v>
      </c>
      <c r="H561">
        <v>5372</v>
      </c>
      <c r="I561">
        <v>110</v>
      </c>
      <c r="J561">
        <v>106</v>
      </c>
      <c r="K561">
        <v>4</v>
      </c>
      <c r="L561">
        <v>426282235</v>
      </c>
      <c r="M561">
        <v>224088</v>
      </c>
      <c r="N561">
        <v>1902.3</v>
      </c>
      <c r="O561">
        <v>210840</v>
      </c>
      <c r="P561">
        <v>17326</v>
      </c>
      <c r="Q561">
        <v>420</v>
      </c>
      <c r="R561" t="s">
        <v>1992</v>
      </c>
      <c r="S561" t="s">
        <v>1993</v>
      </c>
      <c r="T561" t="s">
        <v>1994</v>
      </c>
      <c r="U561" t="s">
        <v>2289</v>
      </c>
    </row>
    <row r="562" spans="1:21">
      <c r="A562" t="s">
        <v>3181</v>
      </c>
      <c r="B562" t="s">
        <v>3182</v>
      </c>
      <c r="C562" t="s">
        <v>3176</v>
      </c>
      <c r="D562" t="s">
        <v>3183</v>
      </c>
      <c r="E562" t="s">
        <v>1987</v>
      </c>
      <c r="F562" t="s">
        <v>204</v>
      </c>
      <c r="G562" t="s">
        <v>1991</v>
      </c>
      <c r="H562">
        <v>3909</v>
      </c>
      <c r="I562">
        <v>689</v>
      </c>
      <c r="J562">
        <v>986</v>
      </c>
      <c r="K562">
        <v>8</v>
      </c>
      <c r="L562">
        <v>1809146493</v>
      </c>
      <c r="M562">
        <v>3988517</v>
      </c>
      <c r="N562">
        <v>453.59</v>
      </c>
      <c r="O562">
        <v>62859</v>
      </c>
      <c r="P562">
        <v>437</v>
      </c>
      <c r="Q562">
        <v>232</v>
      </c>
      <c r="R562" t="s">
        <v>1992</v>
      </c>
      <c r="S562" t="s">
        <v>1993</v>
      </c>
      <c r="T562" t="s">
        <v>1994</v>
      </c>
      <c r="U562" t="s">
        <v>1998</v>
      </c>
    </row>
    <row r="563" spans="1:21">
      <c r="A563" t="s">
        <v>3174</v>
      </c>
      <c r="B563" t="s">
        <v>3175</v>
      </c>
      <c r="C563" t="s">
        <v>3176</v>
      </c>
      <c r="D563" t="s">
        <v>3177</v>
      </c>
      <c r="E563" t="s">
        <v>1987</v>
      </c>
      <c r="F563" t="s">
        <v>204</v>
      </c>
      <c r="G563" t="s">
        <v>1991</v>
      </c>
      <c r="H563">
        <v>5355</v>
      </c>
      <c r="I563">
        <v>154</v>
      </c>
      <c r="J563">
        <v>77</v>
      </c>
      <c r="K563">
        <v>6</v>
      </c>
      <c r="L563">
        <v>652271506</v>
      </c>
      <c r="M563">
        <v>443616</v>
      </c>
      <c r="N563">
        <v>1470.35</v>
      </c>
      <c r="O563">
        <v>228967</v>
      </c>
      <c r="P563">
        <v>9197</v>
      </c>
      <c r="Q563">
        <v>431</v>
      </c>
      <c r="R563" t="s">
        <v>1992</v>
      </c>
      <c r="S563" t="s">
        <v>1993</v>
      </c>
      <c r="T563" t="s">
        <v>1994</v>
      </c>
      <c r="U563" t="s">
        <v>1998</v>
      </c>
    </row>
    <row r="564" spans="1:21">
      <c r="A564" t="s">
        <v>3255</v>
      </c>
      <c r="B564" t="s">
        <v>3256</v>
      </c>
      <c r="C564" t="s">
        <v>3257</v>
      </c>
      <c r="D564" t="s">
        <v>3258</v>
      </c>
      <c r="E564" t="s">
        <v>1987</v>
      </c>
      <c r="F564" t="s">
        <v>204</v>
      </c>
      <c r="G564" t="s">
        <v>1991</v>
      </c>
      <c r="H564">
        <v>945</v>
      </c>
      <c r="I564">
        <v>3614</v>
      </c>
      <c r="J564">
        <v>1029</v>
      </c>
      <c r="K564">
        <v>4</v>
      </c>
      <c r="L564">
        <v>1114983500</v>
      </c>
      <c r="M564">
        <v>795833</v>
      </c>
      <c r="N564">
        <v>1401.03</v>
      </c>
      <c r="O564">
        <v>116458</v>
      </c>
      <c r="P564">
        <v>5860</v>
      </c>
      <c r="Q564">
        <v>385</v>
      </c>
      <c r="R564" t="s">
        <v>1992</v>
      </c>
      <c r="S564" t="s">
        <v>1993</v>
      </c>
      <c r="T564" t="s">
        <v>1994</v>
      </c>
      <c r="U564" t="s">
        <v>1998</v>
      </c>
    </row>
    <row r="565" spans="1:21">
      <c r="A565" t="s">
        <v>2066</v>
      </c>
      <c r="B565" t="s">
        <v>2067</v>
      </c>
      <c r="C565" t="s">
        <v>2068</v>
      </c>
      <c r="D565" t="s">
        <v>2069</v>
      </c>
      <c r="E565" t="s">
        <v>1987</v>
      </c>
      <c r="F565" t="s">
        <v>204</v>
      </c>
      <c r="G565" t="s">
        <v>1991</v>
      </c>
      <c r="H565">
        <v>5385</v>
      </c>
      <c r="I565">
        <v>106</v>
      </c>
      <c r="J565">
        <v>91</v>
      </c>
      <c r="K565">
        <v>10</v>
      </c>
      <c r="L565">
        <v>485991922</v>
      </c>
      <c r="M565">
        <v>403097</v>
      </c>
      <c r="N565">
        <v>1205.6500000000001</v>
      </c>
      <c r="O565">
        <v>173489</v>
      </c>
      <c r="P565">
        <v>10189</v>
      </c>
      <c r="Q565">
        <v>299</v>
      </c>
      <c r="R565" t="s">
        <v>1992</v>
      </c>
      <c r="S565" t="s">
        <v>1993</v>
      </c>
      <c r="T565" t="s">
        <v>1994</v>
      </c>
      <c r="U565" t="s">
        <v>1998</v>
      </c>
    </row>
    <row r="566" spans="1:21">
      <c r="A566" t="s">
        <v>2280</v>
      </c>
      <c r="B566" t="s">
        <v>2281</v>
      </c>
      <c r="C566" t="s">
        <v>2282</v>
      </c>
      <c r="D566" t="s">
        <v>2283</v>
      </c>
      <c r="E566" t="s">
        <v>1982</v>
      </c>
      <c r="F566" t="s">
        <v>204</v>
      </c>
      <c r="G566" t="s">
        <v>1991</v>
      </c>
      <c r="H566">
        <v>5209</v>
      </c>
      <c r="I566">
        <v>115</v>
      </c>
      <c r="J566">
        <v>260</v>
      </c>
      <c r="K566">
        <v>8</v>
      </c>
      <c r="L566">
        <v>1732443564</v>
      </c>
      <c r="M566">
        <v>3803593</v>
      </c>
      <c r="N566">
        <v>455.48</v>
      </c>
      <c r="O566">
        <v>93413</v>
      </c>
      <c r="P566">
        <v>420</v>
      </c>
      <c r="Q566">
        <v>228</v>
      </c>
      <c r="R566" t="s">
        <v>1992</v>
      </c>
      <c r="S566" t="s">
        <v>1993</v>
      </c>
      <c r="T566" t="s">
        <v>1994</v>
      </c>
      <c r="U566" t="s">
        <v>2284</v>
      </c>
    </row>
    <row r="567" spans="1:21">
      <c r="A567" t="s">
        <v>3059</v>
      </c>
      <c r="B567" t="s">
        <v>3060</v>
      </c>
      <c r="C567" t="s">
        <v>3061</v>
      </c>
      <c r="D567" t="s">
        <v>3062</v>
      </c>
      <c r="E567" t="s">
        <v>1987</v>
      </c>
      <c r="F567" t="s">
        <v>204</v>
      </c>
      <c r="G567" t="s">
        <v>1991</v>
      </c>
      <c r="H567">
        <v>5471</v>
      </c>
      <c r="I567">
        <v>42</v>
      </c>
      <c r="J567">
        <v>74</v>
      </c>
      <c r="K567">
        <v>5</v>
      </c>
      <c r="L567">
        <v>1151337041</v>
      </c>
      <c r="M567">
        <v>1200599</v>
      </c>
      <c r="N567">
        <v>958.97</v>
      </c>
      <c r="O567">
        <v>284583</v>
      </c>
      <c r="P567">
        <v>4128</v>
      </c>
      <c r="Q567">
        <v>298</v>
      </c>
      <c r="R567" t="s">
        <v>1992</v>
      </c>
      <c r="S567" t="s">
        <v>1993</v>
      </c>
      <c r="T567" t="s">
        <v>1994</v>
      </c>
      <c r="U567" t="s">
        <v>2001</v>
      </c>
    </row>
    <row r="568" spans="1:21">
      <c r="A568" t="s">
        <v>3203</v>
      </c>
      <c r="B568" t="s">
        <v>3204</v>
      </c>
      <c r="C568" t="s">
        <v>3205</v>
      </c>
      <c r="D568" t="s">
        <v>3206</v>
      </c>
      <c r="E568" t="s">
        <v>1987</v>
      </c>
      <c r="F568" t="s">
        <v>204</v>
      </c>
      <c r="G568" t="s">
        <v>1991</v>
      </c>
      <c r="H568">
        <v>5319</v>
      </c>
      <c r="I568">
        <v>177</v>
      </c>
      <c r="J568">
        <v>89</v>
      </c>
      <c r="K568">
        <v>7</v>
      </c>
      <c r="L568">
        <v>1147895649</v>
      </c>
      <c r="M568">
        <v>931298</v>
      </c>
      <c r="N568">
        <v>1232.58</v>
      </c>
      <c r="O568">
        <v>419914</v>
      </c>
      <c r="P568">
        <v>2009</v>
      </c>
      <c r="Q568">
        <v>453</v>
      </c>
      <c r="R568" t="s">
        <v>1992</v>
      </c>
      <c r="S568" t="s">
        <v>1993</v>
      </c>
      <c r="T568" t="s">
        <v>1994</v>
      </c>
      <c r="U568" t="s">
        <v>1998</v>
      </c>
    </row>
    <row r="569" spans="1:21">
      <c r="A569" t="s">
        <v>2174</v>
      </c>
      <c r="B569" t="s">
        <v>2175</v>
      </c>
      <c r="C569" t="s">
        <v>2176</v>
      </c>
      <c r="D569" t="s">
        <v>2177</v>
      </c>
      <c r="E569" t="s">
        <v>1982</v>
      </c>
      <c r="F569" t="s">
        <v>204</v>
      </c>
      <c r="G569" t="s">
        <v>1991</v>
      </c>
      <c r="H569">
        <v>5120</v>
      </c>
      <c r="I569">
        <v>195</v>
      </c>
      <c r="J569">
        <v>269</v>
      </c>
      <c r="K569">
        <v>8</v>
      </c>
      <c r="L569">
        <v>1715274309</v>
      </c>
      <c r="M569">
        <v>4097269</v>
      </c>
      <c r="N569">
        <v>418.64</v>
      </c>
      <c r="O569">
        <v>72221</v>
      </c>
      <c r="P569">
        <v>371</v>
      </c>
      <c r="Q569">
        <v>224</v>
      </c>
      <c r="R569" t="s">
        <v>1992</v>
      </c>
      <c r="S569" t="s">
        <v>1993</v>
      </c>
      <c r="T569" t="s">
        <v>1994</v>
      </c>
      <c r="U569" t="s">
        <v>1998</v>
      </c>
    </row>
    <row r="570" spans="1:21">
      <c r="A570" t="s">
        <v>2804</v>
      </c>
      <c r="B570" t="s">
        <v>2805</v>
      </c>
      <c r="C570" t="s">
        <v>2806</v>
      </c>
      <c r="D570" t="s">
        <v>2807</v>
      </c>
      <c r="E570" t="s">
        <v>1982</v>
      </c>
      <c r="F570" t="s">
        <v>204</v>
      </c>
      <c r="G570" t="s">
        <v>1991</v>
      </c>
      <c r="H570">
        <v>5000</v>
      </c>
      <c r="I570">
        <v>231</v>
      </c>
      <c r="J570">
        <v>351</v>
      </c>
      <c r="K570">
        <v>10</v>
      </c>
      <c r="L570">
        <v>1135826077</v>
      </c>
      <c r="M570">
        <v>1758092</v>
      </c>
      <c r="N570">
        <v>646.05999999999995</v>
      </c>
      <c r="O570">
        <v>561583</v>
      </c>
      <c r="P570">
        <v>1135</v>
      </c>
      <c r="Q570">
        <v>257</v>
      </c>
      <c r="R570" t="s">
        <v>1992</v>
      </c>
      <c r="S570" t="s">
        <v>1993</v>
      </c>
      <c r="T570" t="s">
        <v>1994</v>
      </c>
      <c r="U570" t="s">
        <v>1998</v>
      </c>
    </row>
    <row r="571" spans="1:21">
      <c r="A571" t="s">
        <v>3279</v>
      </c>
      <c r="B571" t="s">
        <v>3280</v>
      </c>
      <c r="C571" t="s">
        <v>3277</v>
      </c>
      <c r="D571" t="s">
        <v>3281</v>
      </c>
      <c r="E571" t="s">
        <v>1982</v>
      </c>
      <c r="F571" t="s">
        <v>204</v>
      </c>
      <c r="G571" t="s">
        <v>1991</v>
      </c>
      <c r="H571">
        <v>1389</v>
      </c>
      <c r="I571">
        <v>3019</v>
      </c>
      <c r="J571">
        <v>1180</v>
      </c>
      <c r="K571">
        <v>4</v>
      </c>
      <c r="L571">
        <v>1585964837</v>
      </c>
      <c r="M571">
        <v>2169706</v>
      </c>
      <c r="N571">
        <v>730.96</v>
      </c>
      <c r="O571">
        <v>73193</v>
      </c>
      <c r="P571">
        <v>1775</v>
      </c>
      <c r="Q571">
        <v>272</v>
      </c>
      <c r="R571" t="s">
        <v>1992</v>
      </c>
      <c r="S571" t="s">
        <v>1993</v>
      </c>
      <c r="T571" t="s">
        <v>1994</v>
      </c>
      <c r="U571" t="s">
        <v>1998</v>
      </c>
    </row>
    <row r="572" spans="1:21">
      <c r="A572" t="s">
        <v>2580</v>
      </c>
      <c r="B572" t="s">
        <v>2581</v>
      </c>
      <c r="C572" t="s">
        <v>2582</v>
      </c>
      <c r="D572" t="s">
        <v>2583</v>
      </c>
      <c r="E572" t="s">
        <v>1987</v>
      </c>
      <c r="F572" t="s">
        <v>204</v>
      </c>
      <c r="G572" t="s">
        <v>1991</v>
      </c>
      <c r="H572">
        <v>5420</v>
      </c>
      <c r="I572">
        <v>86</v>
      </c>
      <c r="J572">
        <v>81</v>
      </c>
      <c r="K572">
        <v>5</v>
      </c>
      <c r="L572">
        <v>2108314358</v>
      </c>
      <c r="M572">
        <v>2685082</v>
      </c>
      <c r="N572">
        <v>785.2</v>
      </c>
      <c r="O572">
        <v>228046</v>
      </c>
      <c r="P572">
        <v>1048</v>
      </c>
      <c r="Q572">
        <v>331</v>
      </c>
      <c r="R572" t="s">
        <v>1992</v>
      </c>
      <c r="S572" t="s">
        <v>1993</v>
      </c>
      <c r="T572" t="s">
        <v>1994</v>
      </c>
      <c r="U572" t="s">
        <v>2284</v>
      </c>
    </row>
    <row r="573" spans="1:21">
      <c r="A573" t="s">
        <v>2225</v>
      </c>
      <c r="B573" t="s">
        <v>2226</v>
      </c>
      <c r="C573" t="s">
        <v>2227</v>
      </c>
      <c r="D573" t="s">
        <v>2228</v>
      </c>
      <c r="E573" t="s">
        <v>1982</v>
      </c>
      <c r="F573" t="s">
        <v>204</v>
      </c>
      <c r="G573" t="s">
        <v>1991</v>
      </c>
      <c r="H573">
        <v>5332</v>
      </c>
      <c r="I573">
        <v>85</v>
      </c>
      <c r="J573">
        <v>168</v>
      </c>
      <c r="K573">
        <v>7</v>
      </c>
      <c r="L573">
        <v>994270213</v>
      </c>
      <c r="M573">
        <v>882835</v>
      </c>
      <c r="N573">
        <v>1126.22</v>
      </c>
      <c r="O573">
        <v>148937</v>
      </c>
      <c r="P573">
        <v>6075</v>
      </c>
      <c r="Q573">
        <v>325</v>
      </c>
      <c r="R573" t="s">
        <v>1992</v>
      </c>
      <c r="S573" t="s">
        <v>1993</v>
      </c>
      <c r="T573" t="s">
        <v>1994</v>
      </c>
      <c r="U573" t="s">
        <v>1998</v>
      </c>
    </row>
    <row r="574" spans="1:21">
      <c r="A574" t="s">
        <v>2400</v>
      </c>
      <c r="B574" t="s">
        <v>2401</v>
      </c>
      <c r="C574" t="s">
        <v>2402</v>
      </c>
      <c r="D574" t="s">
        <v>2403</v>
      </c>
      <c r="E574" t="s">
        <v>1982</v>
      </c>
      <c r="F574" t="s">
        <v>204</v>
      </c>
      <c r="G574" t="s">
        <v>1991</v>
      </c>
      <c r="H574">
        <v>5447</v>
      </c>
      <c r="I574">
        <v>49</v>
      </c>
      <c r="J574">
        <v>89</v>
      </c>
      <c r="K574">
        <v>7</v>
      </c>
      <c r="L574">
        <v>517317738</v>
      </c>
      <c r="M574">
        <v>354576</v>
      </c>
      <c r="N574">
        <v>1458.98</v>
      </c>
      <c r="O574">
        <v>222103</v>
      </c>
      <c r="P574">
        <v>18239</v>
      </c>
      <c r="Q574">
        <v>346</v>
      </c>
      <c r="R574" t="s">
        <v>1992</v>
      </c>
      <c r="S574" t="s">
        <v>1993</v>
      </c>
      <c r="T574" t="s">
        <v>1994</v>
      </c>
      <c r="U574" t="s">
        <v>2010</v>
      </c>
    </row>
    <row r="575" spans="1:21">
      <c r="A575" t="s">
        <v>2272</v>
      </c>
      <c r="B575" t="s">
        <v>2273</v>
      </c>
      <c r="C575" t="s">
        <v>2274</v>
      </c>
      <c r="D575" t="s">
        <v>2275</v>
      </c>
      <c r="E575" t="s">
        <v>1982</v>
      </c>
      <c r="F575" t="s">
        <v>204</v>
      </c>
      <c r="G575" t="s">
        <v>1991</v>
      </c>
      <c r="H575">
        <v>4832</v>
      </c>
      <c r="I575">
        <v>288</v>
      </c>
      <c r="J575">
        <v>470</v>
      </c>
      <c r="K575">
        <v>2</v>
      </c>
      <c r="L575">
        <v>1481525999</v>
      </c>
      <c r="M575">
        <v>2548135</v>
      </c>
      <c r="N575">
        <v>581.41999999999996</v>
      </c>
      <c r="O575">
        <v>49706</v>
      </c>
      <c r="P575">
        <v>697</v>
      </c>
      <c r="Q575">
        <v>270</v>
      </c>
      <c r="R575" t="s">
        <v>1992</v>
      </c>
      <c r="S575" t="s">
        <v>1993</v>
      </c>
      <c r="T575" t="s">
        <v>1994</v>
      </c>
      <c r="U575" t="s">
        <v>1998</v>
      </c>
    </row>
    <row r="576" spans="1:21">
      <c r="A576" t="s">
        <v>2046</v>
      </c>
      <c r="B576" t="s">
        <v>2047</v>
      </c>
      <c r="C576" t="s">
        <v>2048</v>
      </c>
      <c r="D576" t="s">
        <v>2049</v>
      </c>
      <c r="E576" t="s">
        <v>1982</v>
      </c>
      <c r="F576" t="s">
        <v>204</v>
      </c>
      <c r="G576" t="s">
        <v>1991</v>
      </c>
      <c r="H576">
        <v>4821</v>
      </c>
      <c r="I576">
        <v>256</v>
      </c>
      <c r="J576">
        <v>511</v>
      </c>
      <c r="K576">
        <v>4</v>
      </c>
      <c r="L576">
        <v>1437833310</v>
      </c>
      <c r="M576">
        <v>2607037</v>
      </c>
      <c r="N576">
        <v>551.52</v>
      </c>
      <c r="O576">
        <v>50008</v>
      </c>
      <c r="P576">
        <v>624</v>
      </c>
      <c r="Q576">
        <v>263</v>
      </c>
      <c r="R576" t="s">
        <v>1992</v>
      </c>
      <c r="S576" t="s">
        <v>1993</v>
      </c>
      <c r="T576" t="s">
        <v>1994</v>
      </c>
      <c r="U576" t="s">
        <v>1998</v>
      </c>
    </row>
    <row r="577" spans="1:21">
      <c r="A577" t="s">
        <v>2493</v>
      </c>
      <c r="B577" t="s">
        <v>2494</v>
      </c>
      <c r="C577" t="s">
        <v>2495</v>
      </c>
      <c r="D577" t="s">
        <v>2496</v>
      </c>
      <c r="E577" t="s">
        <v>1982</v>
      </c>
      <c r="F577" t="s">
        <v>204</v>
      </c>
      <c r="G577" t="s">
        <v>1991</v>
      </c>
      <c r="H577">
        <v>4161</v>
      </c>
      <c r="I577">
        <v>679</v>
      </c>
      <c r="J577">
        <v>750</v>
      </c>
      <c r="K577">
        <v>2</v>
      </c>
      <c r="L577">
        <v>1267221327</v>
      </c>
      <c r="M577">
        <v>2170734</v>
      </c>
      <c r="N577">
        <v>583.78</v>
      </c>
      <c r="O577">
        <v>88036</v>
      </c>
      <c r="P577">
        <v>797</v>
      </c>
      <c r="Q577">
        <v>256</v>
      </c>
      <c r="R577" t="s">
        <v>1992</v>
      </c>
      <c r="S577" t="s">
        <v>1993</v>
      </c>
      <c r="T577" t="s">
        <v>1994</v>
      </c>
      <c r="U577" t="s">
        <v>1995</v>
      </c>
    </row>
    <row r="578" spans="1:21">
      <c r="A578" t="s">
        <v>3236</v>
      </c>
      <c r="B578" t="s">
        <v>3237</v>
      </c>
      <c r="C578" t="s">
        <v>3238</v>
      </c>
      <c r="D578" t="s">
        <v>3239</v>
      </c>
      <c r="E578" t="s">
        <v>1982</v>
      </c>
      <c r="F578" t="s">
        <v>204</v>
      </c>
      <c r="G578" t="s">
        <v>1991</v>
      </c>
      <c r="H578">
        <v>5096</v>
      </c>
      <c r="I578">
        <v>180</v>
      </c>
      <c r="J578">
        <v>303</v>
      </c>
      <c r="K578">
        <v>13</v>
      </c>
      <c r="L578">
        <v>897041839</v>
      </c>
      <c r="M578">
        <v>1292158</v>
      </c>
      <c r="N578">
        <v>694.22</v>
      </c>
      <c r="O578">
        <v>118298</v>
      </c>
      <c r="P578">
        <v>2152</v>
      </c>
      <c r="Q578">
        <v>250</v>
      </c>
      <c r="R578" t="s">
        <v>1992</v>
      </c>
      <c r="S578" t="s">
        <v>1993</v>
      </c>
      <c r="T578" t="s">
        <v>1994</v>
      </c>
      <c r="U578" t="s">
        <v>1998</v>
      </c>
    </row>
    <row r="579" spans="1:21">
      <c r="A579" t="s">
        <v>2612</v>
      </c>
      <c r="B579" t="s">
        <v>2613</v>
      </c>
      <c r="C579" t="s">
        <v>2614</v>
      </c>
      <c r="D579" t="s">
        <v>2615</v>
      </c>
      <c r="E579" t="s">
        <v>1987</v>
      </c>
      <c r="F579" t="s">
        <v>204</v>
      </c>
      <c r="G579" t="s">
        <v>1991</v>
      </c>
      <c r="H579">
        <v>5251</v>
      </c>
      <c r="I579">
        <v>131</v>
      </c>
      <c r="J579">
        <v>195</v>
      </c>
      <c r="K579">
        <v>15</v>
      </c>
      <c r="L579">
        <v>2178003480</v>
      </c>
      <c r="M579">
        <v>1347953</v>
      </c>
      <c r="N579">
        <v>1615.79</v>
      </c>
      <c r="O579">
        <v>300849</v>
      </c>
      <c r="P579">
        <v>9993</v>
      </c>
      <c r="Q579">
        <v>392</v>
      </c>
      <c r="R579" t="s">
        <v>1992</v>
      </c>
      <c r="S579" t="s">
        <v>1993</v>
      </c>
      <c r="T579" t="s">
        <v>1994</v>
      </c>
      <c r="U579" t="s">
        <v>31</v>
      </c>
    </row>
    <row r="580" spans="1:21">
      <c r="A580" t="s">
        <v>2249</v>
      </c>
      <c r="B580" t="s">
        <v>2250</v>
      </c>
      <c r="C580" t="s">
        <v>2251</v>
      </c>
      <c r="D580" t="s">
        <v>2252</v>
      </c>
      <c r="E580" t="s">
        <v>1982</v>
      </c>
      <c r="F580" t="s">
        <v>204</v>
      </c>
      <c r="G580" t="s">
        <v>1991</v>
      </c>
      <c r="H580">
        <v>4940</v>
      </c>
      <c r="I580">
        <v>241</v>
      </c>
      <c r="J580">
        <v>409</v>
      </c>
      <c r="K580">
        <v>2</v>
      </c>
      <c r="L580">
        <v>1398680305</v>
      </c>
      <c r="M580">
        <v>2796390</v>
      </c>
      <c r="N580">
        <v>500.17</v>
      </c>
      <c r="O580">
        <v>57321</v>
      </c>
      <c r="P580">
        <v>531</v>
      </c>
      <c r="Q580">
        <v>241</v>
      </c>
      <c r="R580" t="s">
        <v>1992</v>
      </c>
      <c r="S580" t="s">
        <v>1993</v>
      </c>
      <c r="T580" t="s">
        <v>1994</v>
      </c>
      <c r="U580" t="s">
        <v>1998</v>
      </c>
    </row>
    <row r="581" spans="1:21">
      <c r="A581" t="s">
        <v>3275</v>
      </c>
      <c r="B581" t="s">
        <v>3276</v>
      </c>
      <c r="C581" t="s">
        <v>3277</v>
      </c>
      <c r="D581" t="s">
        <v>3278</v>
      </c>
      <c r="E581" t="s">
        <v>1982</v>
      </c>
      <c r="F581" t="s">
        <v>204</v>
      </c>
      <c r="G581" t="s">
        <v>1991</v>
      </c>
      <c r="H581">
        <v>1413</v>
      </c>
      <c r="I581">
        <v>3035</v>
      </c>
      <c r="J581">
        <v>1140</v>
      </c>
      <c r="K581">
        <v>4</v>
      </c>
      <c r="L581">
        <v>2161782236</v>
      </c>
      <c r="M581">
        <v>3971848</v>
      </c>
      <c r="N581">
        <v>544.28</v>
      </c>
      <c r="O581">
        <v>64773</v>
      </c>
      <c r="P581">
        <v>759</v>
      </c>
      <c r="Q581">
        <v>235</v>
      </c>
      <c r="R581" t="s">
        <v>1992</v>
      </c>
      <c r="S581" t="s">
        <v>1993</v>
      </c>
      <c r="T581" t="s">
        <v>1994</v>
      </c>
      <c r="U581" t="s">
        <v>1998</v>
      </c>
    </row>
    <row r="582" spans="1:21">
      <c r="A582" t="s">
        <v>2715</v>
      </c>
      <c r="B582" t="s">
        <v>2716</v>
      </c>
      <c r="C582" t="s">
        <v>2717</v>
      </c>
      <c r="D582" t="s">
        <v>2718</v>
      </c>
      <c r="E582" t="s">
        <v>1987</v>
      </c>
      <c r="F582" t="s">
        <v>204</v>
      </c>
      <c r="G582" t="s">
        <v>1991</v>
      </c>
      <c r="H582">
        <v>5440</v>
      </c>
      <c r="I582">
        <v>94</v>
      </c>
      <c r="J582">
        <v>54</v>
      </c>
      <c r="K582">
        <v>4</v>
      </c>
      <c r="L582">
        <v>885878630</v>
      </c>
      <c r="M582">
        <v>669747</v>
      </c>
      <c r="N582">
        <v>1322.71</v>
      </c>
      <c r="O582">
        <v>311024</v>
      </c>
      <c r="P582">
        <v>5960</v>
      </c>
      <c r="Q582">
        <v>393</v>
      </c>
      <c r="R582" t="s">
        <v>1992</v>
      </c>
      <c r="S582" t="s">
        <v>1993</v>
      </c>
      <c r="T582" t="s">
        <v>1994</v>
      </c>
      <c r="U582" t="s">
        <v>2636</v>
      </c>
    </row>
    <row r="583" spans="1:21">
      <c r="A583" t="s">
        <v>3310</v>
      </c>
      <c r="B583" t="s">
        <v>3311</v>
      </c>
      <c r="C583" t="s">
        <v>3308</v>
      </c>
      <c r="D583" t="s">
        <v>3312</v>
      </c>
      <c r="E583" t="s">
        <v>1982</v>
      </c>
      <c r="F583" t="s">
        <v>204</v>
      </c>
      <c r="G583" t="s">
        <v>1991</v>
      </c>
      <c r="H583">
        <v>4858</v>
      </c>
      <c r="I583">
        <v>240</v>
      </c>
      <c r="J583">
        <v>489</v>
      </c>
      <c r="K583">
        <v>5</v>
      </c>
      <c r="L583">
        <v>1945304312</v>
      </c>
      <c r="M583">
        <v>3896285</v>
      </c>
      <c r="N583">
        <v>499.27</v>
      </c>
      <c r="O583">
        <v>100680</v>
      </c>
      <c r="P583">
        <v>527</v>
      </c>
      <c r="Q583">
        <v>244</v>
      </c>
      <c r="R583" t="s">
        <v>1992</v>
      </c>
      <c r="S583" t="s">
        <v>1993</v>
      </c>
      <c r="T583" t="s">
        <v>1994</v>
      </c>
      <c r="U583" t="s">
        <v>1998</v>
      </c>
    </row>
    <row r="584" spans="1:21">
      <c r="A584" t="s">
        <v>2779</v>
      </c>
      <c r="B584" t="s">
        <v>2780</v>
      </c>
      <c r="C584" t="s">
        <v>2777</v>
      </c>
      <c r="D584" t="s">
        <v>2781</v>
      </c>
      <c r="E584" t="s">
        <v>1987</v>
      </c>
      <c r="F584" t="s">
        <v>204</v>
      </c>
      <c r="G584" t="s">
        <v>1991</v>
      </c>
      <c r="H584">
        <v>4295</v>
      </c>
      <c r="I584">
        <v>606</v>
      </c>
      <c r="J584">
        <v>687</v>
      </c>
      <c r="K584">
        <v>4</v>
      </c>
      <c r="L584">
        <v>1524656179</v>
      </c>
      <c r="M584">
        <v>2168812</v>
      </c>
      <c r="N584">
        <v>702.99</v>
      </c>
      <c r="O584">
        <v>551815</v>
      </c>
      <c r="P584">
        <v>1024</v>
      </c>
      <c r="Q584">
        <v>283</v>
      </c>
      <c r="R584" t="s">
        <v>1992</v>
      </c>
      <c r="S584" t="s">
        <v>1993</v>
      </c>
      <c r="T584" t="s">
        <v>1994</v>
      </c>
      <c r="U584" t="s">
        <v>1998</v>
      </c>
    </row>
    <row r="585" spans="1:21">
      <c r="A585" t="s">
        <v>2239</v>
      </c>
      <c r="B585" t="s">
        <v>2240</v>
      </c>
      <c r="C585" t="s">
        <v>2237</v>
      </c>
      <c r="D585" t="s">
        <v>2241</v>
      </c>
      <c r="E585" t="s">
        <v>1982</v>
      </c>
      <c r="F585" t="s">
        <v>204</v>
      </c>
      <c r="G585" t="s">
        <v>1991</v>
      </c>
      <c r="H585">
        <v>4863</v>
      </c>
      <c r="I585">
        <v>339</v>
      </c>
      <c r="J585">
        <v>384</v>
      </c>
      <c r="K585">
        <v>6</v>
      </c>
      <c r="L585">
        <v>1676881411</v>
      </c>
      <c r="M585">
        <v>3931954</v>
      </c>
      <c r="N585">
        <v>426.48</v>
      </c>
      <c r="O585">
        <v>64327</v>
      </c>
      <c r="P585">
        <v>397</v>
      </c>
      <c r="Q585">
        <v>227</v>
      </c>
      <c r="R585" t="s">
        <v>1992</v>
      </c>
      <c r="S585" t="s">
        <v>1993</v>
      </c>
      <c r="T585" t="s">
        <v>1994</v>
      </c>
      <c r="U585" t="s">
        <v>1998</v>
      </c>
    </row>
    <row r="586" spans="1:21">
      <c r="A586" t="s">
        <v>2260</v>
      </c>
      <c r="B586" t="s">
        <v>2261</v>
      </c>
      <c r="C586" t="s">
        <v>2262</v>
      </c>
      <c r="D586" t="s">
        <v>2263</v>
      </c>
      <c r="E586" t="s">
        <v>1987</v>
      </c>
      <c r="F586" t="s">
        <v>204</v>
      </c>
      <c r="G586" t="s">
        <v>1991</v>
      </c>
      <c r="H586">
        <v>3396</v>
      </c>
      <c r="I586">
        <v>1238</v>
      </c>
      <c r="J586">
        <v>949</v>
      </c>
      <c r="K586">
        <v>9</v>
      </c>
      <c r="L586">
        <v>1580891852</v>
      </c>
      <c r="M586">
        <v>2335214</v>
      </c>
      <c r="N586">
        <v>676.98</v>
      </c>
      <c r="O586">
        <v>240641</v>
      </c>
      <c r="P586">
        <v>1062</v>
      </c>
      <c r="Q586">
        <v>281</v>
      </c>
      <c r="R586" t="s">
        <v>1992</v>
      </c>
      <c r="S586" t="s">
        <v>1993</v>
      </c>
      <c r="T586" t="s">
        <v>1994</v>
      </c>
      <c r="U586" t="s">
        <v>1998</v>
      </c>
    </row>
    <row r="587" spans="1:21">
      <c r="A587" t="s">
        <v>2619</v>
      </c>
      <c r="B587" t="s">
        <v>2620</v>
      </c>
      <c r="C587" t="s">
        <v>2621</v>
      </c>
      <c r="D587" t="s">
        <v>2622</v>
      </c>
      <c r="E587" t="s">
        <v>1987</v>
      </c>
      <c r="F587" t="s">
        <v>204</v>
      </c>
      <c r="G587" t="s">
        <v>1991</v>
      </c>
      <c r="H587">
        <v>4886</v>
      </c>
      <c r="I587">
        <v>193</v>
      </c>
      <c r="J587">
        <v>505</v>
      </c>
      <c r="K587">
        <v>8</v>
      </c>
      <c r="L587">
        <v>1256046513</v>
      </c>
      <c r="M587">
        <v>2037524</v>
      </c>
      <c r="N587">
        <v>616.46</v>
      </c>
      <c r="O587">
        <v>81544</v>
      </c>
      <c r="P587">
        <v>823</v>
      </c>
      <c r="Q587">
        <v>271</v>
      </c>
      <c r="R587" t="s">
        <v>1992</v>
      </c>
      <c r="S587" t="s">
        <v>1993</v>
      </c>
      <c r="T587" t="s">
        <v>1994</v>
      </c>
      <c r="U587" t="s">
        <v>1998</v>
      </c>
    </row>
    <row r="588" spans="1:21">
      <c r="A588" t="s">
        <v>3297</v>
      </c>
      <c r="B588" t="s">
        <v>3298</v>
      </c>
      <c r="C588" t="s">
        <v>3295</v>
      </c>
      <c r="D588" t="s">
        <v>3299</v>
      </c>
      <c r="E588" t="s">
        <v>1982</v>
      </c>
      <c r="F588" t="s">
        <v>204</v>
      </c>
      <c r="G588" t="s">
        <v>1991</v>
      </c>
      <c r="H588">
        <v>5134</v>
      </c>
      <c r="I588">
        <v>184</v>
      </c>
      <c r="J588">
        <v>267</v>
      </c>
      <c r="K588">
        <v>7</v>
      </c>
      <c r="L588">
        <v>1075391092</v>
      </c>
      <c r="M588">
        <v>1269816</v>
      </c>
      <c r="N588">
        <v>846.89</v>
      </c>
      <c r="O588">
        <v>515797</v>
      </c>
      <c r="P588">
        <v>2798</v>
      </c>
      <c r="Q588">
        <v>283</v>
      </c>
      <c r="R588" t="s">
        <v>1992</v>
      </c>
      <c r="S588" t="s">
        <v>1993</v>
      </c>
      <c r="T588" t="s">
        <v>1994</v>
      </c>
      <c r="U588" t="s">
        <v>1998</v>
      </c>
    </row>
    <row r="589" spans="1:21">
      <c r="A589" t="s">
        <v>3222</v>
      </c>
      <c r="B589" t="s">
        <v>3223</v>
      </c>
      <c r="C589" t="s">
        <v>3224</v>
      </c>
      <c r="D589" t="s">
        <v>3225</v>
      </c>
      <c r="E589" t="s">
        <v>1982</v>
      </c>
      <c r="F589" t="s">
        <v>204</v>
      </c>
      <c r="G589" t="s">
        <v>1991</v>
      </c>
      <c r="H589">
        <v>4655</v>
      </c>
      <c r="I589">
        <v>479</v>
      </c>
      <c r="J589">
        <v>457</v>
      </c>
      <c r="K589">
        <v>1</v>
      </c>
      <c r="L589">
        <v>2588147336</v>
      </c>
      <c r="M589">
        <v>2980240</v>
      </c>
      <c r="N589">
        <v>868.44</v>
      </c>
      <c r="O589">
        <v>702099</v>
      </c>
      <c r="P589">
        <v>1350</v>
      </c>
      <c r="Q589">
        <v>343</v>
      </c>
      <c r="R589" t="s">
        <v>1992</v>
      </c>
      <c r="S589" t="s">
        <v>1993</v>
      </c>
      <c r="T589" t="s">
        <v>1994</v>
      </c>
      <c r="U589" t="s">
        <v>1998</v>
      </c>
    </row>
    <row r="590" spans="1:21">
      <c r="A590" t="s">
        <v>3207</v>
      </c>
      <c r="B590" t="s">
        <v>3208</v>
      </c>
      <c r="C590" t="s">
        <v>3209</v>
      </c>
      <c r="D590" t="s">
        <v>3210</v>
      </c>
      <c r="E590" t="s">
        <v>1987</v>
      </c>
      <c r="F590" t="s">
        <v>204</v>
      </c>
      <c r="G590" t="s">
        <v>1991</v>
      </c>
      <c r="H590">
        <v>5338</v>
      </c>
      <c r="I590">
        <v>134</v>
      </c>
      <c r="J590">
        <v>112</v>
      </c>
      <c r="K590">
        <v>8</v>
      </c>
      <c r="L590">
        <v>443350763</v>
      </c>
      <c r="M590">
        <v>236787</v>
      </c>
      <c r="N590">
        <v>1872.36</v>
      </c>
      <c r="O590">
        <v>227829</v>
      </c>
      <c r="P590">
        <v>16282</v>
      </c>
      <c r="Q590">
        <v>444</v>
      </c>
      <c r="R590" t="s">
        <v>1992</v>
      </c>
      <c r="S590" t="s">
        <v>1993</v>
      </c>
      <c r="T590" t="s">
        <v>1994</v>
      </c>
      <c r="U590" t="s">
        <v>1998</v>
      </c>
    </row>
    <row r="591" spans="1:21">
      <c r="A591" t="s">
        <v>3199</v>
      </c>
      <c r="B591" t="s">
        <v>3200</v>
      </c>
      <c r="C591" t="s">
        <v>3201</v>
      </c>
      <c r="D591" t="s">
        <v>3202</v>
      </c>
      <c r="E591" t="s">
        <v>1987</v>
      </c>
      <c r="F591" t="s">
        <v>204</v>
      </c>
      <c r="G591" t="s">
        <v>1991</v>
      </c>
      <c r="H591">
        <v>5381</v>
      </c>
      <c r="I591">
        <v>130</v>
      </c>
      <c r="J591">
        <v>76</v>
      </c>
      <c r="K591">
        <v>5</v>
      </c>
      <c r="L591">
        <v>716335543</v>
      </c>
      <c r="M591">
        <v>692125</v>
      </c>
      <c r="N591">
        <v>1034.98</v>
      </c>
      <c r="O591">
        <v>201511</v>
      </c>
      <c r="P591">
        <v>3829</v>
      </c>
      <c r="Q591">
        <v>336</v>
      </c>
      <c r="R591" t="s">
        <v>1992</v>
      </c>
      <c r="S591" t="s">
        <v>1993</v>
      </c>
      <c r="T591" t="s">
        <v>1994</v>
      </c>
      <c r="U591" t="s">
        <v>1998</v>
      </c>
    </row>
    <row r="592" spans="1:21">
      <c r="A592" t="s">
        <v>2814</v>
      </c>
      <c r="B592" t="s">
        <v>2815</v>
      </c>
      <c r="C592" t="s">
        <v>2816</v>
      </c>
      <c r="D592" t="s">
        <v>2817</v>
      </c>
      <c r="E592" t="s">
        <v>1987</v>
      </c>
      <c r="F592" t="s">
        <v>204</v>
      </c>
      <c r="G592" t="s">
        <v>1991</v>
      </c>
      <c r="H592">
        <v>4409</v>
      </c>
      <c r="I592">
        <v>518</v>
      </c>
      <c r="J592">
        <v>660</v>
      </c>
      <c r="K592">
        <v>5</v>
      </c>
      <c r="L592">
        <v>733449710</v>
      </c>
      <c r="M592">
        <v>976654</v>
      </c>
      <c r="N592">
        <v>750.98</v>
      </c>
      <c r="O592">
        <v>66296</v>
      </c>
      <c r="P592">
        <v>1774</v>
      </c>
      <c r="Q592">
        <v>277</v>
      </c>
      <c r="R592" t="s">
        <v>1992</v>
      </c>
      <c r="S592" t="s">
        <v>1993</v>
      </c>
      <c r="T592" t="s">
        <v>1994</v>
      </c>
      <c r="U592" t="s">
        <v>1998</v>
      </c>
    </row>
    <row r="593" spans="1:21">
      <c r="A593" t="s">
        <v>2242</v>
      </c>
      <c r="B593" t="s">
        <v>2243</v>
      </c>
      <c r="C593" t="s">
        <v>2244</v>
      </c>
      <c r="D593" t="s">
        <v>2245</v>
      </c>
      <c r="E593" t="s">
        <v>1982</v>
      </c>
      <c r="F593" t="s">
        <v>204</v>
      </c>
      <c r="G593" t="s">
        <v>1991</v>
      </c>
      <c r="H593">
        <v>3977</v>
      </c>
      <c r="I593">
        <v>589</v>
      </c>
      <c r="J593">
        <v>1021</v>
      </c>
      <c r="K593">
        <v>5</v>
      </c>
      <c r="L593">
        <v>1241296213</v>
      </c>
      <c r="M593">
        <v>1748158</v>
      </c>
      <c r="N593">
        <v>710.06</v>
      </c>
      <c r="O593">
        <v>399078</v>
      </c>
      <c r="P593">
        <v>928</v>
      </c>
      <c r="Q593">
        <v>315</v>
      </c>
      <c r="R593" t="s">
        <v>1992</v>
      </c>
      <c r="S593" t="s">
        <v>1993</v>
      </c>
      <c r="T593" t="s">
        <v>1994</v>
      </c>
      <c r="U593" t="s">
        <v>1998</v>
      </c>
    </row>
    <row r="594" spans="1:21">
      <c r="A594" t="s">
        <v>3306</v>
      </c>
      <c r="B594" t="s">
        <v>3307</v>
      </c>
      <c r="C594" t="s">
        <v>3308</v>
      </c>
      <c r="D594" t="s">
        <v>3309</v>
      </c>
      <c r="E594" t="s">
        <v>1982</v>
      </c>
      <c r="F594" t="s">
        <v>204</v>
      </c>
      <c r="G594" t="s">
        <v>1991</v>
      </c>
      <c r="H594">
        <v>5151</v>
      </c>
      <c r="I594">
        <v>203</v>
      </c>
      <c r="J594">
        <v>232</v>
      </c>
      <c r="K594">
        <v>6</v>
      </c>
      <c r="L594">
        <v>855166597</v>
      </c>
      <c r="M594">
        <v>989988</v>
      </c>
      <c r="N594">
        <v>863.82</v>
      </c>
      <c r="O594">
        <v>74778</v>
      </c>
      <c r="P594">
        <v>2197</v>
      </c>
      <c r="Q594">
        <v>295</v>
      </c>
      <c r="R594" t="s">
        <v>1992</v>
      </c>
      <c r="S594" t="s">
        <v>1993</v>
      </c>
      <c r="T594" t="s">
        <v>1994</v>
      </c>
      <c r="U594" t="s">
        <v>1998</v>
      </c>
    </row>
    <row r="595" spans="1:21">
      <c r="A595" t="s">
        <v>2852</v>
      </c>
      <c r="B595" t="s">
        <v>2853</v>
      </c>
      <c r="C595" t="s">
        <v>2854</v>
      </c>
      <c r="D595" t="s">
        <v>2855</v>
      </c>
      <c r="E595" t="s">
        <v>1982</v>
      </c>
      <c r="F595" t="s">
        <v>204</v>
      </c>
      <c r="G595" t="s">
        <v>1991</v>
      </c>
      <c r="H595">
        <v>2573</v>
      </c>
      <c r="I595">
        <v>1939</v>
      </c>
      <c r="J595">
        <v>1077</v>
      </c>
      <c r="K595">
        <v>3</v>
      </c>
      <c r="L595">
        <v>1522278417</v>
      </c>
      <c r="M595">
        <v>1913119</v>
      </c>
      <c r="N595">
        <v>795.71</v>
      </c>
      <c r="O595">
        <v>62217</v>
      </c>
      <c r="P595">
        <v>1580</v>
      </c>
      <c r="Q595">
        <v>283</v>
      </c>
      <c r="R595" t="s">
        <v>1992</v>
      </c>
      <c r="S595" t="s">
        <v>1993</v>
      </c>
      <c r="T595" t="s">
        <v>1994</v>
      </c>
      <c r="U595" t="s">
        <v>1998</v>
      </c>
    </row>
    <row r="596" spans="1:21">
      <c r="A596" t="s">
        <v>2142</v>
      </c>
      <c r="B596" t="s">
        <v>2143</v>
      </c>
      <c r="C596" t="s">
        <v>2140</v>
      </c>
      <c r="D596" t="s">
        <v>2144</v>
      </c>
      <c r="E596" t="s">
        <v>1982</v>
      </c>
      <c r="F596" t="s">
        <v>204</v>
      </c>
      <c r="G596" t="s">
        <v>1991</v>
      </c>
      <c r="H596">
        <v>3076</v>
      </c>
      <c r="I596">
        <v>88</v>
      </c>
      <c r="J596">
        <v>2421</v>
      </c>
      <c r="K596">
        <v>7</v>
      </c>
      <c r="L596">
        <v>932716526</v>
      </c>
      <c r="M596">
        <v>1529856</v>
      </c>
      <c r="N596">
        <v>609.67999999999995</v>
      </c>
      <c r="O596">
        <v>71715</v>
      </c>
      <c r="P596">
        <v>781</v>
      </c>
      <c r="Q596">
        <v>283</v>
      </c>
      <c r="R596" t="s">
        <v>1992</v>
      </c>
      <c r="S596" t="s">
        <v>1993</v>
      </c>
      <c r="T596" t="s">
        <v>1994</v>
      </c>
      <c r="U596" t="s">
        <v>1998</v>
      </c>
    </row>
    <row r="597" spans="1:21">
      <c r="A597" t="s">
        <v>3246</v>
      </c>
      <c r="B597" t="s">
        <v>3247</v>
      </c>
      <c r="C597" t="s">
        <v>3244</v>
      </c>
      <c r="D597" t="s">
        <v>3248</v>
      </c>
      <c r="E597" t="s">
        <v>1982</v>
      </c>
      <c r="F597" t="s">
        <v>204</v>
      </c>
      <c r="G597" t="s">
        <v>1991</v>
      </c>
      <c r="H597">
        <v>4934</v>
      </c>
      <c r="I597">
        <v>171</v>
      </c>
      <c r="J597">
        <v>480</v>
      </c>
      <c r="K597">
        <v>7</v>
      </c>
      <c r="L597">
        <v>1663215949</v>
      </c>
      <c r="M597">
        <v>2074819</v>
      </c>
      <c r="N597">
        <v>801.62</v>
      </c>
      <c r="O597">
        <v>182057</v>
      </c>
      <c r="P597">
        <v>1210</v>
      </c>
      <c r="Q597">
        <v>326</v>
      </c>
      <c r="R597" t="s">
        <v>1992</v>
      </c>
      <c r="S597" t="s">
        <v>1993</v>
      </c>
      <c r="T597" t="s">
        <v>1994</v>
      </c>
      <c r="U597" t="s">
        <v>1998</v>
      </c>
    </row>
    <row r="598" spans="1:21">
      <c r="A598" t="s">
        <v>648</v>
      </c>
      <c r="B598" t="s">
        <v>31</v>
      </c>
      <c r="C598" t="s">
        <v>649</v>
      </c>
      <c r="D598" t="s">
        <v>31</v>
      </c>
      <c r="E598" t="s">
        <v>1982</v>
      </c>
      <c r="F598" t="s">
        <v>31</v>
      </c>
      <c r="G598" t="s">
        <v>18</v>
      </c>
      <c r="H598">
        <v>467</v>
      </c>
      <c r="I598">
        <v>5118</v>
      </c>
      <c r="J598">
        <v>5</v>
      </c>
      <c r="K598">
        <v>2</v>
      </c>
      <c r="L598">
        <v>2074797027</v>
      </c>
      <c r="M598">
        <v>919</v>
      </c>
      <c r="N598">
        <v>2257668.15</v>
      </c>
      <c r="O598">
        <v>150811276</v>
      </c>
      <c r="P598">
        <v>113455120</v>
      </c>
      <c r="Q598">
        <v>74599310</v>
      </c>
      <c r="R598" t="s">
        <v>1992</v>
      </c>
      <c r="S598" t="s">
        <v>1993</v>
      </c>
      <c r="T598" t="s">
        <v>1994</v>
      </c>
      <c r="U598" t="s">
        <v>2001</v>
      </c>
    </row>
    <row r="599" spans="1:21">
      <c r="A599" t="s">
        <v>553</v>
      </c>
      <c r="B599" t="s">
        <v>31</v>
      </c>
      <c r="C599" t="s">
        <v>554</v>
      </c>
      <c r="D599" t="s">
        <v>555</v>
      </c>
      <c r="E599" t="s">
        <v>1987</v>
      </c>
      <c r="F599" t="s">
        <v>31</v>
      </c>
      <c r="G599" t="s">
        <v>18</v>
      </c>
      <c r="H599">
        <v>4540</v>
      </c>
      <c r="I599">
        <v>588</v>
      </c>
      <c r="J599">
        <v>265</v>
      </c>
      <c r="K599">
        <v>199</v>
      </c>
      <c r="L599">
        <v>4225577519</v>
      </c>
      <c r="M599">
        <v>290</v>
      </c>
      <c r="N599">
        <v>14570956.960000001</v>
      </c>
      <c r="O599">
        <v>665585731</v>
      </c>
      <c r="P599">
        <v>610333535</v>
      </c>
      <c r="Q599">
        <v>516505932</v>
      </c>
      <c r="R599" t="s">
        <v>1983</v>
      </c>
      <c r="S599" t="s">
        <v>1984</v>
      </c>
      <c r="T599" t="s">
        <v>1985</v>
      </c>
      <c r="U599" t="s">
        <v>1986</v>
      </c>
    </row>
    <row r="600" spans="1:21">
      <c r="A600" t="s">
        <v>605</v>
      </c>
      <c r="B600" t="s">
        <v>31</v>
      </c>
      <c r="C600" t="s">
        <v>606</v>
      </c>
      <c r="D600" t="s">
        <v>607</v>
      </c>
      <c r="E600" t="s">
        <v>1982</v>
      </c>
      <c r="F600" t="s">
        <v>608</v>
      </c>
      <c r="G600" t="s">
        <v>18</v>
      </c>
      <c r="H600">
        <v>4541</v>
      </c>
      <c r="I600">
        <v>653</v>
      </c>
      <c r="J600">
        <v>227</v>
      </c>
      <c r="K600">
        <v>171</v>
      </c>
      <c r="L600">
        <v>2277545291</v>
      </c>
      <c r="M600">
        <v>1697</v>
      </c>
      <c r="N600">
        <v>1342100.94</v>
      </c>
      <c r="O600">
        <v>347306123</v>
      </c>
      <c r="P600">
        <v>275237373</v>
      </c>
      <c r="Q600">
        <v>9978325</v>
      </c>
      <c r="R600" t="s">
        <v>1983</v>
      </c>
      <c r="S600" t="s">
        <v>1984</v>
      </c>
      <c r="T600" t="s">
        <v>2002</v>
      </c>
      <c r="U600" t="s">
        <v>2016</v>
      </c>
    </row>
    <row r="601" spans="1:21">
      <c r="A601" t="s">
        <v>697</v>
      </c>
      <c r="B601" t="s">
        <v>31</v>
      </c>
      <c r="C601" t="s">
        <v>698</v>
      </c>
      <c r="D601" t="s">
        <v>699</v>
      </c>
      <c r="E601" t="s">
        <v>1982</v>
      </c>
      <c r="F601" t="s">
        <v>700</v>
      </c>
      <c r="G601" t="s">
        <v>18</v>
      </c>
      <c r="H601">
        <v>4837</v>
      </c>
      <c r="I601">
        <v>456</v>
      </c>
      <c r="J601">
        <v>178</v>
      </c>
      <c r="K601">
        <v>121</v>
      </c>
      <c r="L601">
        <v>858859173</v>
      </c>
      <c r="M601">
        <v>850</v>
      </c>
      <c r="N601">
        <v>1010422.56</v>
      </c>
      <c r="O601">
        <v>24906701</v>
      </c>
      <c r="P601">
        <v>2690911</v>
      </c>
      <c r="Q601">
        <v>437499</v>
      </c>
      <c r="R601" t="s">
        <v>1983</v>
      </c>
      <c r="S601" t="s">
        <v>2019</v>
      </c>
      <c r="T601" t="s">
        <v>2020</v>
      </c>
      <c r="U601" t="s">
        <v>2021</v>
      </c>
    </row>
    <row r="602" spans="1:21">
      <c r="A602" t="s">
        <v>654</v>
      </c>
      <c r="B602" t="s">
        <v>31</v>
      </c>
      <c r="C602" t="s">
        <v>655</v>
      </c>
      <c r="D602" t="s">
        <v>656</v>
      </c>
      <c r="E602" t="s">
        <v>1982</v>
      </c>
      <c r="F602" t="s">
        <v>197</v>
      </c>
      <c r="G602" t="s">
        <v>18</v>
      </c>
      <c r="H602">
        <v>3141</v>
      </c>
      <c r="I602">
        <v>1666</v>
      </c>
      <c r="J602">
        <v>767</v>
      </c>
      <c r="K602">
        <v>18</v>
      </c>
      <c r="L602">
        <v>2074921001</v>
      </c>
      <c r="M602">
        <v>105321</v>
      </c>
      <c r="N602">
        <v>19700.919999999998</v>
      </c>
      <c r="O602">
        <v>56735748</v>
      </c>
      <c r="P602">
        <v>37709</v>
      </c>
      <c r="Q602">
        <v>8407</v>
      </c>
      <c r="R602" t="s">
        <v>1992</v>
      </c>
      <c r="S602" t="s">
        <v>1993</v>
      </c>
      <c r="T602" t="s">
        <v>1994</v>
      </c>
      <c r="U602" t="s">
        <v>2001</v>
      </c>
    </row>
    <row r="603" spans="1:21">
      <c r="A603" t="s">
        <v>659</v>
      </c>
      <c r="B603" t="s">
        <v>31</v>
      </c>
      <c r="C603" t="s">
        <v>660</v>
      </c>
      <c r="D603" t="s">
        <v>661</v>
      </c>
      <c r="E603" t="s">
        <v>1982</v>
      </c>
      <c r="F603" t="s">
        <v>204</v>
      </c>
      <c r="G603" t="s">
        <v>205</v>
      </c>
      <c r="H603">
        <v>694</v>
      </c>
      <c r="I603">
        <v>4898</v>
      </c>
      <c r="J603">
        <v>0</v>
      </c>
      <c r="K603">
        <v>0</v>
      </c>
      <c r="L603">
        <v>2079430866</v>
      </c>
      <c r="M603">
        <v>14431</v>
      </c>
      <c r="N603">
        <v>144094.72</v>
      </c>
      <c r="O603">
        <v>160910211</v>
      </c>
      <c r="P603">
        <v>88510541</v>
      </c>
      <c r="Q603">
        <v>60506026</v>
      </c>
      <c r="R603" t="s">
        <v>1992</v>
      </c>
      <c r="S603" t="s">
        <v>1993</v>
      </c>
      <c r="T603" t="s">
        <v>1994</v>
      </c>
      <c r="U603" t="s">
        <v>2001</v>
      </c>
    </row>
    <row r="604" spans="1:21">
      <c r="A604" t="s">
        <v>487</v>
      </c>
      <c r="B604" t="s">
        <v>31</v>
      </c>
      <c r="C604" t="s">
        <v>488</v>
      </c>
      <c r="D604" t="s">
        <v>489</v>
      </c>
      <c r="E604" t="s">
        <v>1982</v>
      </c>
      <c r="F604" t="s">
        <v>71</v>
      </c>
      <c r="G604" t="s">
        <v>18</v>
      </c>
      <c r="H604">
        <v>922</v>
      </c>
      <c r="I604">
        <v>4566</v>
      </c>
      <c r="J604">
        <v>63</v>
      </c>
      <c r="K604">
        <v>41</v>
      </c>
      <c r="L604">
        <v>986199717</v>
      </c>
      <c r="M604">
        <v>4366</v>
      </c>
      <c r="N604">
        <v>225881.75</v>
      </c>
      <c r="O604">
        <v>7234309</v>
      </c>
      <c r="P604">
        <v>520980</v>
      </c>
      <c r="Q604">
        <v>95883</v>
      </c>
      <c r="R604" t="s">
        <v>1992</v>
      </c>
      <c r="S604" t="s">
        <v>2012</v>
      </c>
      <c r="T604" t="s">
        <v>2631</v>
      </c>
      <c r="U604" t="s">
        <v>2632</v>
      </c>
    </row>
    <row r="605" spans="1:21">
      <c r="A605" t="s">
        <v>789</v>
      </c>
      <c r="B605" t="s">
        <v>31</v>
      </c>
      <c r="C605" t="s">
        <v>775</v>
      </c>
      <c r="D605" t="s">
        <v>31</v>
      </c>
      <c r="E605" t="s">
        <v>1982</v>
      </c>
      <c r="F605" t="s">
        <v>197</v>
      </c>
      <c r="G605" t="s">
        <v>18</v>
      </c>
      <c r="H605">
        <v>4028</v>
      </c>
      <c r="I605">
        <v>341</v>
      </c>
      <c r="J605">
        <v>920</v>
      </c>
      <c r="K605">
        <v>303</v>
      </c>
      <c r="L605">
        <v>326442508</v>
      </c>
      <c r="M605">
        <v>60198</v>
      </c>
      <c r="N605">
        <v>5422.81</v>
      </c>
      <c r="O605">
        <v>1127032</v>
      </c>
      <c r="P605">
        <v>93178</v>
      </c>
      <c r="Q605">
        <v>7511</v>
      </c>
      <c r="R605" t="s">
        <v>1983</v>
      </c>
      <c r="S605" t="s">
        <v>2019</v>
      </c>
      <c r="T605" t="s">
        <v>2020</v>
      </c>
      <c r="U605" t="s">
        <v>2021</v>
      </c>
    </row>
    <row r="606" spans="1:21">
      <c r="A606" t="s">
        <v>838</v>
      </c>
      <c r="B606" t="s">
        <v>31</v>
      </c>
      <c r="C606" t="s">
        <v>839</v>
      </c>
      <c r="D606" t="s">
        <v>840</v>
      </c>
      <c r="E606" t="s">
        <v>1982</v>
      </c>
      <c r="F606" t="s">
        <v>548</v>
      </c>
      <c r="G606" t="s">
        <v>18</v>
      </c>
      <c r="H606">
        <v>4477</v>
      </c>
      <c r="I606">
        <v>844</v>
      </c>
      <c r="J606">
        <v>183</v>
      </c>
      <c r="K606">
        <v>88</v>
      </c>
      <c r="L606">
        <v>462580640</v>
      </c>
      <c r="M606">
        <v>136</v>
      </c>
      <c r="N606">
        <v>3401328.24</v>
      </c>
      <c r="O606">
        <v>46282013</v>
      </c>
      <c r="P606">
        <v>32496781</v>
      </c>
      <c r="Q606">
        <v>1939872</v>
      </c>
      <c r="R606" t="s">
        <v>1983</v>
      </c>
      <c r="S606" t="s">
        <v>2019</v>
      </c>
      <c r="T606" t="s">
        <v>2020</v>
      </c>
      <c r="U606" t="s">
        <v>2021</v>
      </c>
    </row>
    <row r="607" spans="1:21">
      <c r="A607" t="s">
        <v>169</v>
      </c>
      <c r="B607" t="s">
        <v>31</v>
      </c>
      <c r="C607" t="s">
        <v>170</v>
      </c>
      <c r="D607" t="s">
        <v>31</v>
      </c>
      <c r="E607" t="s">
        <v>1987</v>
      </c>
      <c r="F607" t="s">
        <v>31</v>
      </c>
      <c r="G607" t="s">
        <v>18</v>
      </c>
      <c r="H607">
        <v>100</v>
      </c>
      <c r="I607">
        <v>5144</v>
      </c>
      <c r="J607">
        <v>202</v>
      </c>
      <c r="K607">
        <v>146</v>
      </c>
      <c r="L607">
        <v>10840658271</v>
      </c>
      <c r="M607">
        <v>22</v>
      </c>
      <c r="N607">
        <v>492757194.13999999</v>
      </c>
      <c r="O607">
        <v>716105986</v>
      </c>
      <c r="P607">
        <v>499214392</v>
      </c>
      <c r="Q607">
        <v>448461343</v>
      </c>
      <c r="R607" t="s">
        <v>1983</v>
      </c>
      <c r="S607" t="s">
        <v>1984</v>
      </c>
      <c r="T607" t="s">
        <v>2002</v>
      </c>
      <c r="U607" t="s">
        <v>2003</v>
      </c>
    </row>
    <row r="608" spans="1:21">
      <c r="A608" t="s">
        <v>705</v>
      </c>
      <c r="B608" t="s">
        <v>31</v>
      </c>
      <c r="C608" t="s">
        <v>706</v>
      </c>
      <c r="D608" t="s">
        <v>31</v>
      </c>
      <c r="E608" t="s">
        <v>1987</v>
      </c>
      <c r="F608" t="s">
        <v>71</v>
      </c>
      <c r="G608" t="s">
        <v>18</v>
      </c>
      <c r="H608">
        <v>4873</v>
      </c>
      <c r="I608">
        <v>442</v>
      </c>
      <c r="J608">
        <v>185</v>
      </c>
      <c r="K608">
        <v>92</v>
      </c>
      <c r="L608">
        <v>347715970</v>
      </c>
      <c r="M608">
        <v>51</v>
      </c>
      <c r="N608">
        <v>6817960.2000000002</v>
      </c>
      <c r="O608">
        <v>40334623</v>
      </c>
      <c r="P608">
        <v>27336505</v>
      </c>
      <c r="Q608">
        <v>21777534</v>
      </c>
      <c r="R608" t="s">
        <v>1983</v>
      </c>
      <c r="S608" t="s">
        <v>2019</v>
      </c>
      <c r="T608" t="s">
        <v>2020</v>
      </c>
      <c r="U608" t="s">
        <v>2021</v>
      </c>
    </row>
    <row r="609" spans="1:21">
      <c r="A609" t="s">
        <v>729</v>
      </c>
      <c r="B609" t="s">
        <v>31</v>
      </c>
      <c r="C609" t="s">
        <v>730</v>
      </c>
      <c r="D609" t="s">
        <v>31</v>
      </c>
      <c r="E609" t="s">
        <v>1987</v>
      </c>
      <c r="F609" t="s">
        <v>71</v>
      </c>
      <c r="G609" t="s">
        <v>18</v>
      </c>
      <c r="H609">
        <v>4856</v>
      </c>
      <c r="I609">
        <v>409</v>
      </c>
      <c r="J609">
        <v>204</v>
      </c>
      <c r="K609">
        <v>123</v>
      </c>
      <c r="L609">
        <v>263195077</v>
      </c>
      <c r="M609">
        <v>59</v>
      </c>
      <c r="N609">
        <v>4460933.51</v>
      </c>
      <c r="O609">
        <v>33554891</v>
      </c>
      <c r="P609">
        <v>21827379</v>
      </c>
      <c r="Q609">
        <v>16246320</v>
      </c>
      <c r="R609" t="s">
        <v>1983</v>
      </c>
      <c r="S609" t="s">
        <v>2019</v>
      </c>
      <c r="T609" t="s">
        <v>2020</v>
      </c>
      <c r="U609" t="s">
        <v>2021</v>
      </c>
    </row>
    <row r="610" spans="1:21">
      <c r="A610" t="s">
        <v>756</v>
      </c>
      <c r="B610" t="s">
        <v>31</v>
      </c>
      <c r="C610" t="s">
        <v>736</v>
      </c>
      <c r="D610" t="s">
        <v>757</v>
      </c>
      <c r="E610" t="s">
        <v>1982</v>
      </c>
      <c r="F610" t="s">
        <v>71</v>
      </c>
      <c r="G610" t="s">
        <v>18</v>
      </c>
      <c r="H610">
        <v>565</v>
      </c>
      <c r="I610">
        <v>4777</v>
      </c>
      <c r="J610">
        <v>162</v>
      </c>
      <c r="K610">
        <v>88</v>
      </c>
      <c r="L610">
        <v>892511914</v>
      </c>
      <c r="M610">
        <v>3022</v>
      </c>
      <c r="N610">
        <v>295338.15999999997</v>
      </c>
      <c r="O610">
        <v>37371382</v>
      </c>
      <c r="P610">
        <v>16996319</v>
      </c>
      <c r="Q610">
        <v>83617</v>
      </c>
      <c r="R610" t="s">
        <v>1983</v>
      </c>
      <c r="S610" t="s">
        <v>2019</v>
      </c>
      <c r="T610" t="s">
        <v>2020</v>
      </c>
      <c r="U610" t="s">
        <v>2021</v>
      </c>
    </row>
    <row r="611" spans="1:21">
      <c r="A611" t="s">
        <v>762</v>
      </c>
      <c r="B611" t="s">
        <v>31</v>
      </c>
      <c r="C611" t="s">
        <v>763</v>
      </c>
      <c r="D611" t="s">
        <v>31</v>
      </c>
      <c r="E611" t="s">
        <v>1987</v>
      </c>
      <c r="F611" t="s">
        <v>71</v>
      </c>
      <c r="G611" t="s">
        <v>18</v>
      </c>
      <c r="H611">
        <v>4867</v>
      </c>
      <c r="I611">
        <v>444</v>
      </c>
      <c r="J611">
        <v>188</v>
      </c>
      <c r="K611">
        <v>93</v>
      </c>
      <c r="L611">
        <v>347321046</v>
      </c>
      <c r="M611">
        <v>59</v>
      </c>
      <c r="N611">
        <v>5886797.3899999997</v>
      </c>
      <c r="O611">
        <v>39656875</v>
      </c>
      <c r="P611">
        <v>26599614</v>
      </c>
      <c r="Q611">
        <v>22418184</v>
      </c>
      <c r="R611" t="s">
        <v>1983</v>
      </c>
      <c r="S611" t="s">
        <v>2019</v>
      </c>
      <c r="T611" t="s">
        <v>2020</v>
      </c>
      <c r="U611" t="s">
        <v>2021</v>
      </c>
    </row>
    <row r="612" spans="1:21">
      <c r="A612" t="s">
        <v>768</v>
      </c>
      <c r="B612" t="s">
        <v>31</v>
      </c>
      <c r="C612" t="s">
        <v>769</v>
      </c>
      <c r="D612" t="s">
        <v>31</v>
      </c>
      <c r="E612" t="s">
        <v>2025</v>
      </c>
      <c r="F612" t="s">
        <v>71</v>
      </c>
      <c r="G612" t="s">
        <v>18</v>
      </c>
      <c r="H612">
        <v>4864</v>
      </c>
      <c r="I612">
        <v>454</v>
      </c>
      <c r="J612">
        <v>182</v>
      </c>
      <c r="K612">
        <v>92</v>
      </c>
      <c r="L612">
        <v>388593428</v>
      </c>
      <c r="M612">
        <v>47</v>
      </c>
      <c r="N612">
        <v>8267945.2800000003</v>
      </c>
      <c r="O612">
        <v>45664349</v>
      </c>
      <c r="P612">
        <v>31489372</v>
      </c>
      <c r="Q612">
        <v>24753583</v>
      </c>
      <c r="R612" t="s">
        <v>1983</v>
      </c>
      <c r="S612" t="s">
        <v>2019</v>
      </c>
      <c r="T612" t="s">
        <v>2020</v>
      </c>
      <c r="U612" t="s">
        <v>2021</v>
      </c>
    </row>
    <row r="613" spans="1:21">
      <c r="A613" t="s">
        <v>794</v>
      </c>
      <c r="B613" t="s">
        <v>31</v>
      </c>
      <c r="C613" t="s">
        <v>795</v>
      </c>
      <c r="D613" t="s">
        <v>796</v>
      </c>
      <c r="E613" t="s">
        <v>1987</v>
      </c>
      <c r="F613" t="s">
        <v>71</v>
      </c>
      <c r="G613" t="s">
        <v>18</v>
      </c>
      <c r="H613">
        <v>4761</v>
      </c>
      <c r="I613">
        <v>517</v>
      </c>
      <c r="J613">
        <v>192</v>
      </c>
      <c r="K613">
        <v>122</v>
      </c>
      <c r="L613">
        <v>393639427</v>
      </c>
      <c r="M613">
        <v>180</v>
      </c>
      <c r="N613">
        <v>2186885.71</v>
      </c>
      <c r="O613">
        <v>42804815</v>
      </c>
      <c r="P613">
        <v>30507914</v>
      </c>
      <c r="Q613">
        <v>24084775</v>
      </c>
      <c r="R613" t="s">
        <v>1983</v>
      </c>
      <c r="S613" t="s">
        <v>2019</v>
      </c>
      <c r="T613" t="s">
        <v>2020</v>
      </c>
      <c r="U613" t="s">
        <v>2021</v>
      </c>
    </row>
    <row r="614" spans="1:21">
      <c r="A614" t="s">
        <v>820</v>
      </c>
      <c r="B614" t="s">
        <v>31</v>
      </c>
      <c r="C614" t="s">
        <v>821</v>
      </c>
      <c r="D614" t="s">
        <v>31</v>
      </c>
      <c r="E614" t="s">
        <v>1987</v>
      </c>
      <c r="F614" t="s">
        <v>71</v>
      </c>
      <c r="G614" t="s">
        <v>18</v>
      </c>
      <c r="H614">
        <v>4759</v>
      </c>
      <c r="I614">
        <v>561</v>
      </c>
      <c r="J614">
        <v>183</v>
      </c>
      <c r="K614">
        <v>89</v>
      </c>
      <c r="L614">
        <v>395534265</v>
      </c>
      <c r="M614">
        <v>26</v>
      </c>
      <c r="N614">
        <v>15212856.35</v>
      </c>
      <c r="O614">
        <v>44777331</v>
      </c>
      <c r="P614">
        <v>31959707</v>
      </c>
      <c r="Q614">
        <v>26869529</v>
      </c>
      <c r="R614" t="s">
        <v>1983</v>
      </c>
      <c r="S614" t="s">
        <v>2019</v>
      </c>
      <c r="T614" t="s">
        <v>2020</v>
      </c>
      <c r="U614" t="s">
        <v>2021</v>
      </c>
    </row>
    <row r="615" spans="1:21">
      <c r="A615" t="s">
        <v>833</v>
      </c>
      <c r="B615" t="s">
        <v>31</v>
      </c>
      <c r="C615" t="s">
        <v>834</v>
      </c>
      <c r="D615" t="s">
        <v>31</v>
      </c>
      <c r="E615" t="s">
        <v>1982</v>
      </c>
      <c r="F615" t="s">
        <v>71</v>
      </c>
      <c r="G615" t="s">
        <v>18</v>
      </c>
      <c r="H615">
        <v>4861</v>
      </c>
      <c r="I615">
        <v>454</v>
      </c>
      <c r="J615">
        <v>171</v>
      </c>
      <c r="K615">
        <v>106</v>
      </c>
      <c r="L615">
        <v>422391326</v>
      </c>
      <c r="M615">
        <v>61</v>
      </c>
      <c r="N615">
        <v>6924447.9699999997</v>
      </c>
      <c r="O615">
        <v>48196116</v>
      </c>
      <c r="P615">
        <v>33104438</v>
      </c>
      <c r="Q615">
        <v>28723895</v>
      </c>
      <c r="R615" t="s">
        <v>1983</v>
      </c>
      <c r="S615" t="s">
        <v>2019</v>
      </c>
      <c r="T615" t="s">
        <v>2020</v>
      </c>
      <c r="U615" t="s">
        <v>2021</v>
      </c>
    </row>
    <row r="616" spans="1:21">
      <c r="A616" t="s">
        <v>742</v>
      </c>
      <c r="B616" t="s">
        <v>31</v>
      </c>
      <c r="C616" t="s">
        <v>736</v>
      </c>
      <c r="D616" t="s">
        <v>743</v>
      </c>
      <c r="E616" t="s">
        <v>1982</v>
      </c>
      <c r="F616" t="s">
        <v>744</v>
      </c>
      <c r="G616" t="s">
        <v>18</v>
      </c>
      <c r="H616">
        <v>1396</v>
      </c>
      <c r="I616">
        <v>3936</v>
      </c>
      <c r="J616">
        <v>171</v>
      </c>
      <c r="K616">
        <v>89</v>
      </c>
      <c r="L616">
        <v>569985523</v>
      </c>
      <c r="M616">
        <v>58350</v>
      </c>
      <c r="N616">
        <v>9768.39</v>
      </c>
      <c r="O616">
        <v>7855609</v>
      </c>
      <c r="P616">
        <v>1858627</v>
      </c>
      <c r="Q616">
        <v>292703</v>
      </c>
      <c r="R616" t="s">
        <v>1983</v>
      </c>
      <c r="S616" t="s">
        <v>2019</v>
      </c>
      <c r="T616" t="s">
        <v>2020</v>
      </c>
      <c r="U616" t="s">
        <v>2021</v>
      </c>
    </row>
    <row r="617" spans="1:21">
      <c r="A617" t="s">
        <v>683</v>
      </c>
      <c r="B617" t="s">
        <v>31</v>
      </c>
      <c r="C617" t="s">
        <v>684</v>
      </c>
      <c r="D617" t="s">
        <v>31</v>
      </c>
      <c r="E617" t="s">
        <v>1982</v>
      </c>
      <c r="F617" t="s">
        <v>237</v>
      </c>
      <c r="G617" t="s">
        <v>245</v>
      </c>
      <c r="H617">
        <v>5178</v>
      </c>
      <c r="I617">
        <v>227</v>
      </c>
      <c r="J617">
        <v>96</v>
      </c>
      <c r="K617">
        <v>91</v>
      </c>
      <c r="L617">
        <v>239945630</v>
      </c>
      <c r="M617">
        <v>55</v>
      </c>
      <c r="N617">
        <v>4362647.82</v>
      </c>
      <c r="O617">
        <v>35511254</v>
      </c>
      <c r="P617">
        <v>27924228</v>
      </c>
      <c r="Q617">
        <v>13006660</v>
      </c>
      <c r="R617" t="s">
        <v>1992</v>
      </c>
      <c r="S617" t="s">
        <v>2012</v>
      </c>
      <c r="T617" t="s">
        <v>2013</v>
      </c>
      <c r="U617" t="s">
        <v>2026</v>
      </c>
    </row>
    <row r="618" spans="1:21">
      <c r="A618" t="s">
        <v>691</v>
      </c>
      <c r="B618" t="s">
        <v>31</v>
      </c>
      <c r="C618" t="s">
        <v>692</v>
      </c>
      <c r="D618" t="s">
        <v>31</v>
      </c>
      <c r="E618" t="s">
        <v>1987</v>
      </c>
      <c r="F618" t="s">
        <v>71</v>
      </c>
      <c r="G618" t="s">
        <v>18</v>
      </c>
      <c r="H618">
        <v>4964</v>
      </c>
      <c r="I618">
        <v>444</v>
      </c>
      <c r="J618">
        <v>92</v>
      </c>
      <c r="K618">
        <v>92</v>
      </c>
      <c r="L618">
        <v>243174629</v>
      </c>
      <c r="M618">
        <v>625</v>
      </c>
      <c r="N618">
        <v>389079.41</v>
      </c>
      <c r="O618">
        <v>7984747</v>
      </c>
      <c r="P618">
        <v>2386382</v>
      </c>
      <c r="Q618">
        <v>397797</v>
      </c>
      <c r="R618" t="s">
        <v>1992</v>
      </c>
      <c r="S618" t="s">
        <v>2012</v>
      </c>
      <c r="T618" t="s">
        <v>2013</v>
      </c>
      <c r="U618" t="s">
        <v>2026</v>
      </c>
    </row>
    <row r="619" spans="1:21">
      <c r="A619" t="s">
        <v>1701</v>
      </c>
      <c r="B619" t="s">
        <v>31</v>
      </c>
      <c r="C619" t="s">
        <v>1702</v>
      </c>
      <c r="D619" t="s">
        <v>2059</v>
      </c>
      <c r="E619" t="s">
        <v>1987</v>
      </c>
      <c r="F619" t="s">
        <v>204</v>
      </c>
      <c r="G619" t="s">
        <v>1376</v>
      </c>
      <c r="H619">
        <v>789</v>
      </c>
      <c r="I619">
        <v>3701</v>
      </c>
      <c r="J619">
        <v>1024</v>
      </c>
      <c r="K619">
        <v>78</v>
      </c>
      <c r="L619">
        <v>1456980079</v>
      </c>
      <c r="M619">
        <v>2143809</v>
      </c>
      <c r="N619">
        <v>679.62</v>
      </c>
      <c r="O619">
        <v>65609</v>
      </c>
      <c r="P619">
        <v>1398</v>
      </c>
      <c r="Q619">
        <v>264</v>
      </c>
      <c r="R619" t="s">
        <v>1983</v>
      </c>
      <c r="S619" t="s">
        <v>2019</v>
      </c>
      <c r="T619" t="s">
        <v>2020</v>
      </c>
      <c r="U619" t="s">
        <v>2021</v>
      </c>
    </row>
    <row r="620" spans="1:21">
      <c r="A620" t="s">
        <v>1712</v>
      </c>
      <c r="B620" t="s">
        <v>31</v>
      </c>
      <c r="C620" t="s">
        <v>1713</v>
      </c>
      <c r="D620" t="s">
        <v>2059</v>
      </c>
      <c r="E620" t="s">
        <v>1982</v>
      </c>
      <c r="F620" t="s">
        <v>204</v>
      </c>
      <c r="G620" t="s">
        <v>1376</v>
      </c>
      <c r="H620">
        <v>837</v>
      </c>
      <c r="I620">
        <v>3573</v>
      </c>
      <c r="J620">
        <v>1110</v>
      </c>
      <c r="K620">
        <v>72</v>
      </c>
      <c r="L620">
        <v>1969940784</v>
      </c>
      <c r="M620">
        <v>3508365</v>
      </c>
      <c r="N620">
        <v>561.5</v>
      </c>
      <c r="O620">
        <v>81440</v>
      </c>
      <c r="P620">
        <v>677</v>
      </c>
      <c r="Q620">
        <v>248</v>
      </c>
      <c r="R620" t="s">
        <v>1983</v>
      </c>
      <c r="S620" t="s">
        <v>2019</v>
      </c>
      <c r="T620" t="s">
        <v>2020</v>
      </c>
      <c r="U620" t="s">
        <v>2021</v>
      </c>
    </row>
    <row r="621" spans="1:21">
      <c r="A621" t="s">
        <v>1727</v>
      </c>
      <c r="B621" t="s">
        <v>31</v>
      </c>
      <c r="C621" t="s">
        <v>1728</v>
      </c>
      <c r="D621" t="s">
        <v>2059</v>
      </c>
      <c r="E621" t="s">
        <v>1982</v>
      </c>
      <c r="F621" t="s">
        <v>204</v>
      </c>
      <c r="G621" t="s">
        <v>1376</v>
      </c>
      <c r="H621">
        <v>791</v>
      </c>
      <c r="I621">
        <v>4060</v>
      </c>
      <c r="J621">
        <v>664</v>
      </c>
      <c r="K621">
        <v>77</v>
      </c>
      <c r="L621">
        <v>1165320967</v>
      </c>
      <c r="M621">
        <v>462889</v>
      </c>
      <c r="N621">
        <v>2517.5</v>
      </c>
      <c r="O621">
        <v>177216</v>
      </c>
      <c r="P621">
        <v>19676</v>
      </c>
      <c r="Q621">
        <v>730</v>
      </c>
      <c r="R621" t="s">
        <v>1983</v>
      </c>
      <c r="S621" t="s">
        <v>2019</v>
      </c>
      <c r="T621" t="s">
        <v>2020</v>
      </c>
      <c r="U621" t="s">
        <v>2021</v>
      </c>
    </row>
    <row r="622" spans="1:21">
      <c r="A622" t="s">
        <v>1735</v>
      </c>
      <c r="B622" t="s">
        <v>31</v>
      </c>
      <c r="C622" t="s">
        <v>1736</v>
      </c>
      <c r="D622" t="s">
        <v>2059</v>
      </c>
      <c r="E622" t="s">
        <v>1982</v>
      </c>
      <c r="F622" t="s">
        <v>204</v>
      </c>
      <c r="G622" t="s">
        <v>1376</v>
      </c>
      <c r="H622">
        <v>647</v>
      </c>
      <c r="I622">
        <v>3674</v>
      </c>
      <c r="J622">
        <v>1188</v>
      </c>
      <c r="K622">
        <v>83</v>
      </c>
      <c r="L622">
        <v>1374222237</v>
      </c>
      <c r="M622">
        <v>1796252</v>
      </c>
      <c r="N622">
        <v>765.05</v>
      </c>
      <c r="O622">
        <v>94986</v>
      </c>
      <c r="P622">
        <v>3337</v>
      </c>
      <c r="Q622">
        <v>269</v>
      </c>
      <c r="R622" t="s">
        <v>1983</v>
      </c>
      <c r="S622" t="s">
        <v>2019</v>
      </c>
      <c r="T622" t="s">
        <v>2020</v>
      </c>
      <c r="U622" t="s">
        <v>2021</v>
      </c>
    </row>
    <row r="623" spans="1:21">
      <c r="A623" t="s">
        <v>825</v>
      </c>
      <c r="B623" t="s">
        <v>31</v>
      </c>
      <c r="C623" t="s">
        <v>826</v>
      </c>
      <c r="D623" t="s">
        <v>827</v>
      </c>
      <c r="E623" t="s">
        <v>1982</v>
      </c>
      <c r="F623" t="s">
        <v>828</v>
      </c>
      <c r="G623" t="s">
        <v>18</v>
      </c>
      <c r="H623">
        <v>4835</v>
      </c>
      <c r="I623">
        <v>496</v>
      </c>
      <c r="J623">
        <v>167</v>
      </c>
      <c r="K623">
        <v>94</v>
      </c>
      <c r="L623">
        <v>584134210</v>
      </c>
      <c r="M623">
        <v>91</v>
      </c>
      <c r="N623">
        <v>6419057.25</v>
      </c>
      <c r="O623">
        <v>69738292</v>
      </c>
      <c r="P623">
        <v>49495881</v>
      </c>
      <c r="Q623">
        <v>38436287</v>
      </c>
      <c r="R623" t="s">
        <v>1983</v>
      </c>
      <c r="S623" t="s">
        <v>2019</v>
      </c>
      <c r="T623" t="s">
        <v>2020</v>
      </c>
      <c r="U623" t="s">
        <v>2021</v>
      </c>
    </row>
    <row r="624" spans="1:21">
      <c r="A624" t="s">
        <v>1746</v>
      </c>
      <c r="B624" t="s">
        <v>31</v>
      </c>
      <c r="C624" t="s">
        <v>1747</v>
      </c>
      <c r="D624" t="s">
        <v>2059</v>
      </c>
      <c r="E624" t="s">
        <v>1982</v>
      </c>
      <c r="F624" t="s">
        <v>204</v>
      </c>
      <c r="G624" t="s">
        <v>1376</v>
      </c>
      <c r="H624">
        <v>4618</v>
      </c>
      <c r="I624">
        <v>426</v>
      </c>
      <c r="J624">
        <v>451</v>
      </c>
      <c r="K624">
        <v>97</v>
      </c>
      <c r="L624">
        <v>1639753915</v>
      </c>
      <c r="M624">
        <v>2879718</v>
      </c>
      <c r="N624">
        <v>569.41</v>
      </c>
      <c r="O624">
        <v>61697</v>
      </c>
      <c r="P624">
        <v>784</v>
      </c>
      <c r="Q624">
        <v>247</v>
      </c>
      <c r="R624" t="s">
        <v>1983</v>
      </c>
      <c r="S624" t="s">
        <v>2019</v>
      </c>
      <c r="T624" t="s">
        <v>2020</v>
      </c>
      <c r="U624" t="s">
        <v>2021</v>
      </c>
    </row>
    <row r="625" spans="1:21">
      <c r="A625" t="s">
        <v>882</v>
      </c>
      <c r="B625" t="s">
        <v>31</v>
      </c>
      <c r="C625" t="s">
        <v>858</v>
      </c>
      <c r="D625" t="s">
        <v>883</v>
      </c>
      <c r="E625" t="s">
        <v>1987</v>
      </c>
      <c r="F625" t="s">
        <v>548</v>
      </c>
      <c r="G625" t="s">
        <v>18</v>
      </c>
      <c r="H625">
        <v>4872</v>
      </c>
      <c r="I625">
        <v>438</v>
      </c>
      <c r="J625">
        <v>192</v>
      </c>
      <c r="K625">
        <v>90</v>
      </c>
      <c r="L625">
        <v>383243376</v>
      </c>
      <c r="M625">
        <v>81</v>
      </c>
      <c r="N625">
        <v>4731399.7</v>
      </c>
      <c r="O625">
        <v>44309235</v>
      </c>
      <c r="P625">
        <v>30350168</v>
      </c>
      <c r="Q625">
        <v>23736288</v>
      </c>
      <c r="R625" t="s">
        <v>1983</v>
      </c>
      <c r="S625" t="s">
        <v>2019</v>
      </c>
      <c r="T625" t="s">
        <v>2020</v>
      </c>
      <c r="U625" t="s">
        <v>2021</v>
      </c>
    </row>
    <row r="626" spans="1:21">
      <c r="A626" t="s">
        <v>877</v>
      </c>
      <c r="B626" t="s">
        <v>31</v>
      </c>
      <c r="C626" t="s">
        <v>858</v>
      </c>
      <c r="D626" t="s">
        <v>878</v>
      </c>
      <c r="E626" t="s">
        <v>1987</v>
      </c>
      <c r="F626" t="s">
        <v>548</v>
      </c>
      <c r="G626" t="s">
        <v>18</v>
      </c>
      <c r="H626">
        <v>4877</v>
      </c>
      <c r="I626">
        <v>444</v>
      </c>
      <c r="J626">
        <v>183</v>
      </c>
      <c r="K626">
        <v>88</v>
      </c>
      <c r="L626">
        <v>392847014</v>
      </c>
      <c r="M626">
        <v>25</v>
      </c>
      <c r="N626">
        <v>15713880.560000001</v>
      </c>
      <c r="O626">
        <v>44395019</v>
      </c>
      <c r="P626">
        <v>31753752</v>
      </c>
      <c r="Q626">
        <v>25670804</v>
      </c>
      <c r="R626" t="s">
        <v>1983</v>
      </c>
      <c r="S626" t="s">
        <v>2019</v>
      </c>
      <c r="T626" t="s">
        <v>2020</v>
      </c>
      <c r="U626" t="s">
        <v>2021</v>
      </c>
    </row>
    <row r="627" spans="1:21">
      <c r="A627" t="s">
        <v>952</v>
      </c>
      <c r="B627" t="s">
        <v>31</v>
      </c>
      <c r="C627" t="s">
        <v>945</v>
      </c>
      <c r="D627" t="s">
        <v>31</v>
      </c>
      <c r="E627" t="s">
        <v>1982</v>
      </c>
      <c r="F627" t="s">
        <v>117</v>
      </c>
      <c r="G627" t="s">
        <v>18</v>
      </c>
      <c r="H627">
        <v>5143</v>
      </c>
      <c r="I627">
        <v>390</v>
      </c>
      <c r="J627">
        <v>29</v>
      </c>
      <c r="K627">
        <v>30</v>
      </c>
      <c r="L627">
        <v>646899508</v>
      </c>
      <c r="M627">
        <v>1902</v>
      </c>
      <c r="N627">
        <v>340115.41</v>
      </c>
      <c r="O627">
        <v>57965693</v>
      </c>
      <c r="P627">
        <v>44532209</v>
      </c>
      <c r="Q627">
        <v>81626</v>
      </c>
      <c r="R627" t="s">
        <v>1992</v>
      </c>
      <c r="S627" t="s">
        <v>1993</v>
      </c>
      <c r="T627" t="s">
        <v>2027</v>
      </c>
      <c r="U627" t="s">
        <v>2028</v>
      </c>
    </row>
    <row r="628" spans="1:21">
      <c r="A628" t="s">
        <v>929</v>
      </c>
      <c r="B628" t="s">
        <v>31</v>
      </c>
      <c r="C628" t="s">
        <v>930</v>
      </c>
      <c r="D628" t="s">
        <v>931</v>
      </c>
      <c r="E628" t="s">
        <v>1982</v>
      </c>
      <c r="F628" t="s">
        <v>932</v>
      </c>
      <c r="G628" t="s">
        <v>18</v>
      </c>
      <c r="H628">
        <v>203</v>
      </c>
      <c r="I628">
        <v>5367</v>
      </c>
      <c r="J628">
        <v>14</v>
      </c>
      <c r="K628">
        <v>8</v>
      </c>
      <c r="L628">
        <v>1129857985</v>
      </c>
      <c r="M628">
        <v>626</v>
      </c>
      <c r="N628">
        <v>1804884.96</v>
      </c>
      <c r="O628">
        <v>83095581</v>
      </c>
      <c r="P628">
        <v>64346616</v>
      </c>
      <c r="Q628">
        <v>48487553</v>
      </c>
      <c r="R628" t="s">
        <v>1992</v>
      </c>
      <c r="S628" t="s">
        <v>1993</v>
      </c>
      <c r="T628" t="s">
        <v>2017</v>
      </c>
      <c r="U628" t="s">
        <v>3016</v>
      </c>
    </row>
    <row r="629" spans="1:21">
      <c r="A629" t="s">
        <v>975</v>
      </c>
      <c r="B629" t="s">
        <v>31</v>
      </c>
      <c r="C629" t="s">
        <v>965</v>
      </c>
      <c r="D629" t="s">
        <v>976</v>
      </c>
      <c r="E629" t="s">
        <v>1982</v>
      </c>
      <c r="F629" t="s">
        <v>977</v>
      </c>
      <c r="G629" t="s">
        <v>18</v>
      </c>
      <c r="H629">
        <v>1107</v>
      </c>
      <c r="I629">
        <v>4448</v>
      </c>
      <c r="J629">
        <v>30</v>
      </c>
      <c r="K629">
        <v>7</v>
      </c>
      <c r="L629">
        <v>1139927050</v>
      </c>
      <c r="M629">
        <v>13411</v>
      </c>
      <c r="N629">
        <v>84999.41</v>
      </c>
      <c r="O629">
        <v>3219705</v>
      </c>
      <c r="P629">
        <v>194574</v>
      </c>
      <c r="Q629">
        <v>28959</v>
      </c>
      <c r="R629" t="s">
        <v>1992</v>
      </c>
      <c r="S629" t="s">
        <v>2022</v>
      </c>
      <c r="T629" t="s">
        <v>2023</v>
      </c>
      <c r="U629" t="s">
        <v>2024</v>
      </c>
    </row>
    <row r="630" spans="1:21">
      <c r="A630" t="s">
        <v>267</v>
      </c>
      <c r="B630" t="s">
        <v>31</v>
      </c>
      <c r="C630" t="s">
        <v>268</v>
      </c>
      <c r="D630" t="s">
        <v>31</v>
      </c>
      <c r="E630" t="s">
        <v>1987</v>
      </c>
      <c r="F630" t="s">
        <v>269</v>
      </c>
      <c r="G630" t="s">
        <v>18</v>
      </c>
      <c r="H630">
        <v>5346</v>
      </c>
      <c r="I630">
        <v>152</v>
      </c>
      <c r="J630">
        <v>41</v>
      </c>
      <c r="K630">
        <v>53</v>
      </c>
      <c r="L630">
        <v>1778181882</v>
      </c>
      <c r="M630">
        <v>7</v>
      </c>
      <c r="N630">
        <v>254025983.13999999</v>
      </c>
      <c r="O630">
        <v>310695138</v>
      </c>
      <c r="P630">
        <v>259248249</v>
      </c>
      <c r="Q630">
        <v>220176344</v>
      </c>
      <c r="R630" t="s">
        <v>1992</v>
      </c>
      <c r="S630" t="s">
        <v>1993</v>
      </c>
      <c r="T630" t="s">
        <v>2017</v>
      </c>
      <c r="U630" t="s">
        <v>2029</v>
      </c>
    </row>
    <row r="631" spans="1:21">
      <c r="A631" t="s">
        <v>893</v>
      </c>
      <c r="B631" t="s">
        <v>31</v>
      </c>
      <c r="C631" t="s">
        <v>894</v>
      </c>
      <c r="D631" t="s">
        <v>895</v>
      </c>
      <c r="E631" t="s">
        <v>1982</v>
      </c>
      <c r="F631" t="s">
        <v>896</v>
      </c>
      <c r="G631" t="s">
        <v>18</v>
      </c>
      <c r="H631">
        <v>5461</v>
      </c>
      <c r="I631">
        <v>106</v>
      </c>
      <c r="J631">
        <v>12</v>
      </c>
      <c r="K631">
        <v>13</v>
      </c>
      <c r="L631">
        <v>535889049</v>
      </c>
      <c r="M631">
        <v>291</v>
      </c>
      <c r="N631">
        <v>1841543.12</v>
      </c>
      <c r="O631">
        <v>73933493</v>
      </c>
      <c r="P631">
        <v>57869027</v>
      </c>
      <c r="Q631">
        <v>44948983</v>
      </c>
      <c r="R631" t="s">
        <v>1992</v>
      </c>
      <c r="S631" t="s">
        <v>1993</v>
      </c>
      <c r="T631" t="s">
        <v>2017</v>
      </c>
      <c r="U631" t="s">
        <v>3016</v>
      </c>
    </row>
    <row r="632" spans="1:21">
      <c r="A632" t="s">
        <v>901</v>
      </c>
      <c r="B632" t="s">
        <v>31</v>
      </c>
      <c r="C632" t="s">
        <v>894</v>
      </c>
      <c r="D632" t="s">
        <v>902</v>
      </c>
      <c r="E632" t="s">
        <v>1982</v>
      </c>
      <c r="F632" t="s">
        <v>903</v>
      </c>
      <c r="G632" t="s">
        <v>18</v>
      </c>
      <c r="H632">
        <v>5456</v>
      </c>
      <c r="I632">
        <v>108</v>
      </c>
      <c r="J632">
        <v>10</v>
      </c>
      <c r="K632">
        <v>18</v>
      </c>
      <c r="L632">
        <v>487473734</v>
      </c>
      <c r="M632">
        <v>43</v>
      </c>
      <c r="N632">
        <v>11336598.470000001</v>
      </c>
      <c r="O632">
        <v>71089445</v>
      </c>
      <c r="P632">
        <v>58225332</v>
      </c>
      <c r="Q632">
        <v>42783166</v>
      </c>
      <c r="R632" t="s">
        <v>1992</v>
      </c>
      <c r="S632" t="s">
        <v>1993</v>
      </c>
      <c r="T632" t="s">
        <v>2017</v>
      </c>
      <c r="U632" t="s">
        <v>3016</v>
      </c>
    </row>
    <row r="633" spans="1:21">
      <c r="A633" t="s">
        <v>1763</v>
      </c>
      <c r="B633" t="s">
        <v>31</v>
      </c>
      <c r="C633" t="s">
        <v>1764</v>
      </c>
      <c r="D633" t="s">
        <v>2059</v>
      </c>
      <c r="E633" t="s">
        <v>1982</v>
      </c>
      <c r="F633" t="s">
        <v>204</v>
      </c>
      <c r="G633" t="s">
        <v>1376</v>
      </c>
      <c r="H633">
        <v>2113</v>
      </c>
      <c r="I633">
        <v>1879</v>
      </c>
      <c r="J633">
        <v>1591</v>
      </c>
      <c r="K633">
        <v>9</v>
      </c>
      <c r="L633">
        <v>5645444994</v>
      </c>
      <c r="M633">
        <v>11926636</v>
      </c>
      <c r="N633">
        <v>473.35</v>
      </c>
      <c r="O633">
        <v>118100</v>
      </c>
      <c r="P633">
        <v>447</v>
      </c>
      <c r="Q633">
        <v>236</v>
      </c>
      <c r="R633" t="s">
        <v>1992</v>
      </c>
      <c r="S633" t="s">
        <v>2022</v>
      </c>
      <c r="T633" t="s">
        <v>2023</v>
      </c>
      <c r="U633" t="s">
        <v>2024</v>
      </c>
    </row>
    <row r="634" spans="1:21">
      <c r="A634" t="s">
        <v>1769</v>
      </c>
      <c r="B634" t="s">
        <v>31</v>
      </c>
      <c r="C634" t="s">
        <v>1770</v>
      </c>
      <c r="D634" t="s">
        <v>2059</v>
      </c>
      <c r="E634" t="s">
        <v>1982</v>
      </c>
      <c r="F634" t="s">
        <v>204</v>
      </c>
      <c r="G634" t="s">
        <v>1376</v>
      </c>
      <c r="H634">
        <v>2374</v>
      </c>
      <c r="I634">
        <v>2178</v>
      </c>
      <c r="J634">
        <v>999</v>
      </c>
      <c r="K634">
        <v>41</v>
      </c>
      <c r="L634">
        <v>4371451354</v>
      </c>
      <c r="M634">
        <v>5733300</v>
      </c>
      <c r="N634">
        <v>762.47</v>
      </c>
      <c r="O634">
        <v>855067</v>
      </c>
      <c r="P634">
        <v>1802</v>
      </c>
      <c r="Q634">
        <v>281</v>
      </c>
      <c r="R634" t="s">
        <v>1983</v>
      </c>
      <c r="S634" t="s">
        <v>2034</v>
      </c>
      <c r="T634" t="s">
        <v>2037</v>
      </c>
      <c r="U634" t="s">
        <v>2038</v>
      </c>
    </row>
    <row r="635" spans="1:21">
      <c r="A635" t="s">
        <v>1786</v>
      </c>
      <c r="B635" t="s">
        <v>31</v>
      </c>
      <c r="C635" t="s">
        <v>1787</v>
      </c>
      <c r="D635" t="s">
        <v>2059</v>
      </c>
      <c r="E635" t="s">
        <v>1982</v>
      </c>
      <c r="F635" t="s">
        <v>204</v>
      </c>
      <c r="G635" t="s">
        <v>1376</v>
      </c>
      <c r="H635">
        <v>2400</v>
      </c>
      <c r="I635">
        <v>1930</v>
      </c>
      <c r="J635">
        <v>1219</v>
      </c>
      <c r="K635">
        <v>43</v>
      </c>
      <c r="L635">
        <v>3178833657</v>
      </c>
      <c r="M635">
        <v>4176674</v>
      </c>
      <c r="N635">
        <v>761.09</v>
      </c>
      <c r="O635">
        <v>84375</v>
      </c>
      <c r="P635">
        <v>1067</v>
      </c>
      <c r="Q635">
        <v>333</v>
      </c>
      <c r="R635" t="s">
        <v>1983</v>
      </c>
      <c r="S635" t="s">
        <v>2034</v>
      </c>
      <c r="T635" t="s">
        <v>2037</v>
      </c>
      <c r="U635" t="s">
        <v>2038</v>
      </c>
    </row>
    <row r="636" spans="1:21">
      <c r="A636" t="s">
        <v>1797</v>
      </c>
      <c r="B636" t="s">
        <v>31</v>
      </c>
      <c r="C636" t="s">
        <v>1798</v>
      </c>
      <c r="D636" t="s">
        <v>2059</v>
      </c>
      <c r="E636" t="s">
        <v>1982</v>
      </c>
      <c r="F636" t="s">
        <v>204</v>
      </c>
      <c r="G636" t="s">
        <v>1376</v>
      </c>
      <c r="H636">
        <v>2331</v>
      </c>
      <c r="I636">
        <v>1885</v>
      </c>
      <c r="J636">
        <v>1335</v>
      </c>
      <c r="K636">
        <v>41</v>
      </c>
      <c r="L636">
        <v>4176431857</v>
      </c>
      <c r="M636">
        <v>5001261</v>
      </c>
      <c r="N636">
        <v>835.08</v>
      </c>
      <c r="O636">
        <v>85024</v>
      </c>
      <c r="P636">
        <v>2440</v>
      </c>
      <c r="Q636">
        <v>282</v>
      </c>
      <c r="R636" t="s">
        <v>1983</v>
      </c>
      <c r="S636" t="s">
        <v>2034</v>
      </c>
      <c r="T636" t="s">
        <v>2037</v>
      </c>
      <c r="U636" t="s">
        <v>2038</v>
      </c>
    </row>
    <row r="637" spans="1:21">
      <c r="A637" t="s">
        <v>3039</v>
      </c>
      <c r="B637" t="s">
        <v>31</v>
      </c>
      <c r="C637" t="s">
        <v>3040</v>
      </c>
      <c r="D637" t="s">
        <v>3041</v>
      </c>
      <c r="E637" t="s">
        <v>1982</v>
      </c>
      <c r="F637" t="s">
        <v>71</v>
      </c>
      <c r="G637" t="s">
        <v>1991</v>
      </c>
      <c r="H637">
        <v>5200</v>
      </c>
      <c r="I637">
        <v>257</v>
      </c>
      <c r="J637">
        <v>53</v>
      </c>
      <c r="K637">
        <v>82</v>
      </c>
      <c r="L637">
        <v>799622294</v>
      </c>
      <c r="M637">
        <v>128</v>
      </c>
      <c r="N637">
        <v>6247049.1699999999</v>
      </c>
      <c r="O637">
        <v>87577967</v>
      </c>
      <c r="P637">
        <v>58753815</v>
      </c>
      <c r="Q637">
        <v>24914922</v>
      </c>
      <c r="R637" t="s">
        <v>1992</v>
      </c>
      <c r="S637" t="s">
        <v>1993</v>
      </c>
      <c r="T637" t="s">
        <v>1994</v>
      </c>
      <c r="U637" t="s">
        <v>2710</v>
      </c>
    </row>
    <row r="638" spans="1:21">
      <c r="A638" t="s">
        <v>1248</v>
      </c>
      <c r="B638" t="s">
        <v>31</v>
      </c>
      <c r="C638" t="s">
        <v>1249</v>
      </c>
      <c r="D638" t="s">
        <v>1250</v>
      </c>
      <c r="E638" t="s">
        <v>1987</v>
      </c>
      <c r="F638" t="s">
        <v>79</v>
      </c>
      <c r="G638" t="s">
        <v>18</v>
      </c>
      <c r="H638">
        <v>4157</v>
      </c>
      <c r="I638">
        <v>1002</v>
      </c>
      <c r="J638">
        <v>254</v>
      </c>
      <c r="K638">
        <v>179</v>
      </c>
      <c r="L638">
        <v>5115539301</v>
      </c>
      <c r="M638">
        <v>11</v>
      </c>
      <c r="N638">
        <v>465049027.36000001</v>
      </c>
      <c r="O638">
        <v>829514116</v>
      </c>
      <c r="P638">
        <v>728660354</v>
      </c>
      <c r="Q638">
        <v>636012229</v>
      </c>
      <c r="R638" t="s">
        <v>1983</v>
      </c>
      <c r="S638" t="s">
        <v>1984</v>
      </c>
      <c r="T638" t="s">
        <v>1985</v>
      </c>
      <c r="U638" t="s">
        <v>1988</v>
      </c>
    </row>
    <row r="639" spans="1:21">
      <c r="A639" t="s">
        <v>1000</v>
      </c>
      <c r="B639" t="s">
        <v>31</v>
      </c>
      <c r="C639" t="s">
        <v>1001</v>
      </c>
      <c r="D639" t="s">
        <v>31</v>
      </c>
      <c r="E639" t="s">
        <v>1987</v>
      </c>
      <c r="F639" t="s">
        <v>237</v>
      </c>
      <c r="G639" t="s">
        <v>245</v>
      </c>
      <c r="H639">
        <v>4557</v>
      </c>
      <c r="I639">
        <v>568</v>
      </c>
      <c r="J639">
        <v>280</v>
      </c>
      <c r="K639">
        <v>187</v>
      </c>
      <c r="L639">
        <v>1151728964</v>
      </c>
      <c r="M639">
        <v>731</v>
      </c>
      <c r="N639">
        <v>1575552.62</v>
      </c>
      <c r="O639">
        <v>330528634</v>
      </c>
      <c r="P639">
        <v>256709825</v>
      </c>
      <c r="Q639">
        <v>90084999</v>
      </c>
      <c r="R639" t="s">
        <v>1983</v>
      </c>
      <c r="S639" t="s">
        <v>1984</v>
      </c>
      <c r="T639" t="s">
        <v>2002</v>
      </c>
      <c r="U639" t="s">
        <v>2030</v>
      </c>
    </row>
    <row r="640" spans="1:21">
      <c r="A640" t="s">
        <v>1007</v>
      </c>
      <c r="B640" t="s">
        <v>31</v>
      </c>
      <c r="C640" t="s">
        <v>1008</v>
      </c>
      <c r="D640" t="s">
        <v>31</v>
      </c>
      <c r="E640" t="s">
        <v>1982</v>
      </c>
      <c r="F640" t="s">
        <v>1009</v>
      </c>
      <c r="G640" t="s">
        <v>18</v>
      </c>
      <c r="H640">
        <v>54</v>
      </c>
      <c r="I640">
        <v>5276</v>
      </c>
      <c r="J640">
        <v>148</v>
      </c>
      <c r="K640">
        <v>114</v>
      </c>
      <c r="L640">
        <v>6136176143</v>
      </c>
      <c r="M640">
        <v>128</v>
      </c>
      <c r="N640">
        <v>47938876.119999997</v>
      </c>
      <c r="O640">
        <v>177118352</v>
      </c>
      <c r="P640">
        <v>65127037</v>
      </c>
      <c r="Q640">
        <v>39744037</v>
      </c>
      <c r="R640" t="s">
        <v>1983</v>
      </c>
      <c r="S640" t="s">
        <v>1984</v>
      </c>
      <c r="T640" t="s">
        <v>2002</v>
      </c>
      <c r="U640" t="s">
        <v>2030</v>
      </c>
    </row>
    <row r="641" spans="1:21">
      <c r="A641" t="s">
        <v>1013</v>
      </c>
      <c r="B641" t="s">
        <v>31</v>
      </c>
      <c r="C641" t="s">
        <v>1014</v>
      </c>
      <c r="D641" t="s">
        <v>31</v>
      </c>
      <c r="E641" t="s">
        <v>1982</v>
      </c>
      <c r="F641" t="s">
        <v>237</v>
      </c>
      <c r="G641" t="s">
        <v>245</v>
      </c>
      <c r="H641">
        <v>4459</v>
      </c>
      <c r="I641">
        <v>657</v>
      </c>
      <c r="J641">
        <v>269</v>
      </c>
      <c r="K641">
        <v>207</v>
      </c>
      <c r="L641">
        <v>648010169</v>
      </c>
      <c r="M641">
        <v>63</v>
      </c>
      <c r="N641">
        <v>10285875.699999999</v>
      </c>
      <c r="O641">
        <v>115093949</v>
      </c>
      <c r="P641">
        <v>97883835</v>
      </c>
      <c r="Q641">
        <v>72915550</v>
      </c>
      <c r="R641" t="s">
        <v>1983</v>
      </c>
      <c r="S641" t="s">
        <v>1984</v>
      </c>
      <c r="T641" t="s">
        <v>2002</v>
      </c>
      <c r="U641" t="s">
        <v>2030</v>
      </c>
    </row>
    <row r="642" spans="1:21">
      <c r="A642" t="s">
        <v>1020</v>
      </c>
      <c r="B642" t="s">
        <v>31</v>
      </c>
      <c r="C642" t="s">
        <v>1021</v>
      </c>
      <c r="D642" t="s">
        <v>31</v>
      </c>
      <c r="E642" t="s">
        <v>1982</v>
      </c>
      <c r="F642" t="s">
        <v>872</v>
      </c>
      <c r="G642" t="s">
        <v>18</v>
      </c>
      <c r="H642">
        <v>3531</v>
      </c>
      <c r="I642">
        <v>1177</v>
      </c>
      <c r="J642">
        <v>400</v>
      </c>
      <c r="K642">
        <v>484</v>
      </c>
      <c r="L642">
        <v>1107144260</v>
      </c>
      <c r="M642">
        <v>2543</v>
      </c>
      <c r="N642">
        <v>435369.35</v>
      </c>
      <c r="O642">
        <v>7202224</v>
      </c>
      <c r="P642">
        <v>950411</v>
      </c>
      <c r="Q642">
        <v>278370</v>
      </c>
      <c r="R642" t="s">
        <v>1983</v>
      </c>
      <c r="S642" t="s">
        <v>1984</v>
      </c>
      <c r="T642" t="s">
        <v>2002</v>
      </c>
      <c r="U642" t="s">
        <v>2031</v>
      </c>
    </row>
    <row r="643" spans="1:21">
      <c r="A643" t="s">
        <v>597</v>
      </c>
      <c r="B643" t="s">
        <v>31</v>
      </c>
      <c r="C643" t="s">
        <v>598</v>
      </c>
      <c r="D643" t="s">
        <v>599</v>
      </c>
      <c r="E643" t="s">
        <v>1987</v>
      </c>
      <c r="F643" t="s">
        <v>600</v>
      </c>
      <c r="G643" t="s">
        <v>18</v>
      </c>
      <c r="H643">
        <v>3564</v>
      </c>
      <c r="I643">
        <v>1449</v>
      </c>
      <c r="J643">
        <v>283</v>
      </c>
      <c r="K643">
        <v>296</v>
      </c>
      <c r="L643">
        <v>2462086667</v>
      </c>
      <c r="M643">
        <v>1916</v>
      </c>
      <c r="N643">
        <v>1285013.92</v>
      </c>
      <c r="O643">
        <v>432999313</v>
      </c>
      <c r="P643">
        <v>338745007</v>
      </c>
      <c r="Q643">
        <v>244921677</v>
      </c>
      <c r="R643" t="s">
        <v>1983</v>
      </c>
      <c r="S643" t="s">
        <v>1984</v>
      </c>
      <c r="T643" t="s">
        <v>2002</v>
      </c>
      <c r="U643" t="s">
        <v>2016</v>
      </c>
    </row>
    <row r="644" spans="1:21">
      <c r="A644" t="s">
        <v>440</v>
      </c>
      <c r="B644" t="s">
        <v>31</v>
      </c>
      <c r="C644" t="s">
        <v>433</v>
      </c>
      <c r="D644" t="s">
        <v>441</v>
      </c>
      <c r="E644" t="s">
        <v>1987</v>
      </c>
      <c r="F644" t="s">
        <v>442</v>
      </c>
      <c r="G644" t="s">
        <v>18</v>
      </c>
      <c r="H644">
        <v>354</v>
      </c>
      <c r="I644">
        <v>5138</v>
      </c>
      <c r="J644">
        <v>66</v>
      </c>
      <c r="K644">
        <v>34</v>
      </c>
      <c r="L644">
        <v>1229373533</v>
      </c>
      <c r="M644">
        <v>1196</v>
      </c>
      <c r="N644">
        <v>1027904.29</v>
      </c>
      <c r="O644">
        <v>47090271</v>
      </c>
      <c r="P644">
        <v>23885297</v>
      </c>
      <c r="Q644">
        <v>4516026</v>
      </c>
      <c r="R644" t="s">
        <v>1992</v>
      </c>
      <c r="S644" t="s">
        <v>2012</v>
      </c>
      <c r="T644" t="s">
        <v>2013</v>
      </c>
      <c r="U644" t="s">
        <v>2014</v>
      </c>
    </row>
    <row r="645" spans="1:21">
      <c r="A645" t="s">
        <v>3079</v>
      </c>
      <c r="B645" t="s">
        <v>31</v>
      </c>
      <c r="C645" t="s">
        <v>3080</v>
      </c>
      <c r="D645" t="s">
        <v>3081</v>
      </c>
      <c r="E645" t="s">
        <v>1982</v>
      </c>
      <c r="F645" t="s">
        <v>71</v>
      </c>
      <c r="G645" t="s">
        <v>1991</v>
      </c>
      <c r="H645">
        <v>325</v>
      </c>
      <c r="I645">
        <v>5243</v>
      </c>
      <c r="J645">
        <v>12</v>
      </c>
      <c r="K645">
        <v>12</v>
      </c>
      <c r="L645">
        <v>1446746720</v>
      </c>
      <c r="M645">
        <v>937</v>
      </c>
      <c r="N645">
        <v>1544019.98</v>
      </c>
      <c r="O645">
        <v>28075149</v>
      </c>
      <c r="P645">
        <v>3095866</v>
      </c>
      <c r="Q645">
        <v>783846</v>
      </c>
      <c r="R645" t="s">
        <v>1992</v>
      </c>
      <c r="S645" t="s">
        <v>1993</v>
      </c>
      <c r="T645" t="s">
        <v>1994</v>
      </c>
      <c r="U645" t="s">
        <v>3015</v>
      </c>
    </row>
    <row r="646" spans="1:21">
      <c r="A646" t="s">
        <v>98</v>
      </c>
      <c r="B646" t="s">
        <v>31</v>
      </c>
      <c r="C646" t="s">
        <v>85</v>
      </c>
      <c r="D646" t="s">
        <v>99</v>
      </c>
      <c r="E646" t="s">
        <v>1982</v>
      </c>
      <c r="F646" t="s">
        <v>87</v>
      </c>
      <c r="G646" t="s">
        <v>18</v>
      </c>
      <c r="H646">
        <v>4572</v>
      </c>
      <c r="I646">
        <v>584</v>
      </c>
      <c r="J646">
        <v>246</v>
      </c>
      <c r="K646">
        <v>190</v>
      </c>
      <c r="L646">
        <v>620191337</v>
      </c>
      <c r="M646">
        <v>5964</v>
      </c>
      <c r="N646">
        <v>103989.16</v>
      </c>
      <c r="O646">
        <v>992023</v>
      </c>
      <c r="P646">
        <v>177456</v>
      </c>
      <c r="Q646">
        <v>52271</v>
      </c>
      <c r="R646" t="s">
        <v>1992</v>
      </c>
      <c r="S646" t="s">
        <v>1993</v>
      </c>
      <c r="T646" t="s">
        <v>2017</v>
      </c>
      <c r="U646" t="s">
        <v>2062</v>
      </c>
    </row>
    <row r="647" spans="1:21">
      <c r="A647" t="s">
        <v>3122</v>
      </c>
      <c r="B647" t="s">
        <v>31</v>
      </c>
      <c r="C647" t="s">
        <v>3123</v>
      </c>
      <c r="D647" t="s">
        <v>3124</v>
      </c>
      <c r="E647" t="s">
        <v>1982</v>
      </c>
      <c r="F647" t="s">
        <v>71</v>
      </c>
      <c r="G647" t="s">
        <v>1991</v>
      </c>
      <c r="H647">
        <v>5378</v>
      </c>
      <c r="I647">
        <v>198</v>
      </c>
      <c r="J647">
        <v>10</v>
      </c>
      <c r="K647">
        <v>6</v>
      </c>
      <c r="L647">
        <v>1572892435</v>
      </c>
      <c r="M647">
        <v>186</v>
      </c>
      <c r="N647">
        <v>8456410.9399999995</v>
      </c>
      <c r="O647">
        <v>64347930</v>
      </c>
      <c r="P647">
        <v>25481178</v>
      </c>
      <c r="Q647">
        <v>8376754</v>
      </c>
      <c r="R647" t="s">
        <v>1992</v>
      </c>
      <c r="S647" t="s">
        <v>1993</v>
      </c>
      <c r="T647" t="s">
        <v>1994</v>
      </c>
      <c r="U647" t="s">
        <v>2446</v>
      </c>
    </row>
    <row r="648" spans="1:21">
      <c r="A648" t="s">
        <v>1071</v>
      </c>
      <c r="B648" t="s">
        <v>31</v>
      </c>
      <c r="C648" t="s">
        <v>1072</v>
      </c>
      <c r="D648" t="s">
        <v>31</v>
      </c>
      <c r="E648" t="s">
        <v>1987</v>
      </c>
      <c r="F648" t="s">
        <v>31</v>
      </c>
      <c r="G648" t="s">
        <v>18</v>
      </c>
      <c r="H648">
        <v>3854</v>
      </c>
      <c r="I648">
        <v>1295</v>
      </c>
      <c r="J648">
        <v>254</v>
      </c>
      <c r="K648">
        <v>189</v>
      </c>
      <c r="L648">
        <v>6735227109</v>
      </c>
      <c r="M648">
        <v>8</v>
      </c>
      <c r="N648">
        <v>841903388.62</v>
      </c>
      <c r="O648">
        <v>965754312</v>
      </c>
      <c r="P648">
        <v>899925126</v>
      </c>
      <c r="Q648">
        <v>727344967</v>
      </c>
      <c r="R648" t="s">
        <v>1983</v>
      </c>
      <c r="S648" t="s">
        <v>1984</v>
      </c>
      <c r="T648" t="s">
        <v>1985</v>
      </c>
      <c r="U648" t="s">
        <v>1986</v>
      </c>
    </row>
    <row r="649" spans="1:21">
      <c r="A649" t="s">
        <v>502</v>
      </c>
      <c r="B649" t="s">
        <v>31</v>
      </c>
      <c r="C649" t="s">
        <v>495</v>
      </c>
      <c r="D649" t="s">
        <v>503</v>
      </c>
      <c r="E649" t="s">
        <v>1987</v>
      </c>
      <c r="F649" t="s">
        <v>504</v>
      </c>
      <c r="G649" t="s">
        <v>18</v>
      </c>
      <c r="H649">
        <v>134</v>
      </c>
      <c r="I649">
        <v>5398</v>
      </c>
      <c r="J649">
        <v>39</v>
      </c>
      <c r="K649">
        <v>21</v>
      </c>
      <c r="L649">
        <v>575076302</v>
      </c>
      <c r="M649">
        <v>874</v>
      </c>
      <c r="N649">
        <v>657982.04</v>
      </c>
      <c r="O649">
        <v>40621098</v>
      </c>
      <c r="P649">
        <v>27140163</v>
      </c>
      <c r="Q649">
        <v>20101091</v>
      </c>
      <c r="R649" t="s">
        <v>1992</v>
      </c>
      <c r="S649" t="s">
        <v>2012</v>
      </c>
      <c r="T649" t="s">
        <v>2631</v>
      </c>
      <c r="U649" t="s">
        <v>2632</v>
      </c>
    </row>
    <row r="650" spans="1:21">
      <c r="A650" t="s">
        <v>749</v>
      </c>
      <c r="B650" t="s">
        <v>31</v>
      </c>
      <c r="C650" t="s">
        <v>736</v>
      </c>
      <c r="D650" t="s">
        <v>750</v>
      </c>
      <c r="E650" t="s">
        <v>1982</v>
      </c>
      <c r="F650" t="s">
        <v>751</v>
      </c>
      <c r="G650" t="s">
        <v>18</v>
      </c>
      <c r="H650">
        <v>1577</v>
      </c>
      <c r="I650">
        <v>3738</v>
      </c>
      <c r="J650">
        <v>190</v>
      </c>
      <c r="K650">
        <v>87</v>
      </c>
      <c r="L650">
        <v>573218882</v>
      </c>
      <c r="M650">
        <v>8877</v>
      </c>
      <c r="N650">
        <v>64573.49</v>
      </c>
      <c r="O650">
        <v>947141</v>
      </c>
      <c r="P650">
        <v>205202</v>
      </c>
      <c r="Q650">
        <v>34945</v>
      </c>
      <c r="R650" t="s">
        <v>1983</v>
      </c>
      <c r="S650" t="s">
        <v>2019</v>
      </c>
      <c r="T650" t="s">
        <v>2020</v>
      </c>
      <c r="U650" t="s">
        <v>2021</v>
      </c>
    </row>
    <row r="651" spans="1:21">
      <c r="A651" t="s">
        <v>1083</v>
      </c>
      <c r="B651" t="s">
        <v>31</v>
      </c>
      <c r="C651" t="s">
        <v>1084</v>
      </c>
      <c r="D651" t="s">
        <v>1085</v>
      </c>
      <c r="E651" t="s">
        <v>1987</v>
      </c>
      <c r="F651" t="s">
        <v>214</v>
      </c>
      <c r="G651" t="s">
        <v>18</v>
      </c>
      <c r="H651">
        <v>5592</v>
      </c>
      <c r="I651">
        <v>0</v>
      </c>
      <c r="J651">
        <v>0</v>
      </c>
      <c r="K651">
        <v>0</v>
      </c>
      <c r="L651">
        <v>405732883</v>
      </c>
      <c r="M651">
        <v>336</v>
      </c>
      <c r="N651">
        <v>1207538.3400000001</v>
      </c>
      <c r="O651">
        <v>58970307</v>
      </c>
      <c r="P651">
        <v>47252588</v>
      </c>
      <c r="Q651">
        <v>36014550</v>
      </c>
      <c r="R651" t="s">
        <v>1992</v>
      </c>
      <c r="S651" t="s">
        <v>1993</v>
      </c>
      <c r="T651" t="s">
        <v>2017</v>
      </c>
      <c r="U651" t="s">
        <v>2029</v>
      </c>
    </row>
    <row r="652" spans="1:21">
      <c r="A652" t="s">
        <v>1098</v>
      </c>
      <c r="B652" t="s">
        <v>31</v>
      </c>
      <c r="C652" t="s">
        <v>1099</v>
      </c>
      <c r="D652" t="s">
        <v>1100</v>
      </c>
      <c r="E652" t="s">
        <v>1987</v>
      </c>
      <c r="F652" t="s">
        <v>79</v>
      </c>
      <c r="G652" t="s">
        <v>18</v>
      </c>
      <c r="H652">
        <v>5573</v>
      </c>
      <c r="I652">
        <v>15</v>
      </c>
      <c r="J652">
        <v>2</v>
      </c>
      <c r="K652">
        <v>2</v>
      </c>
      <c r="L652">
        <v>395731502</v>
      </c>
      <c r="M652">
        <v>14</v>
      </c>
      <c r="N652">
        <v>28266535.859999999</v>
      </c>
      <c r="O652">
        <v>56381885</v>
      </c>
      <c r="P652">
        <v>46702114</v>
      </c>
      <c r="Q652">
        <v>36371416</v>
      </c>
      <c r="R652" t="s">
        <v>1992</v>
      </c>
      <c r="S652" t="s">
        <v>1993</v>
      </c>
      <c r="T652" t="s">
        <v>2017</v>
      </c>
      <c r="U652" t="s">
        <v>2029</v>
      </c>
    </row>
    <row r="653" spans="1:21">
      <c r="A653" t="s">
        <v>3243</v>
      </c>
      <c r="B653" t="s">
        <v>31</v>
      </c>
      <c r="C653" t="s">
        <v>3244</v>
      </c>
      <c r="D653" t="s">
        <v>3245</v>
      </c>
      <c r="E653" t="s">
        <v>1982</v>
      </c>
      <c r="F653" t="s">
        <v>71</v>
      </c>
      <c r="G653" t="s">
        <v>1991</v>
      </c>
      <c r="H653">
        <v>5251</v>
      </c>
      <c r="I653">
        <v>326</v>
      </c>
      <c r="J653">
        <v>8</v>
      </c>
      <c r="K653">
        <v>7</v>
      </c>
      <c r="L653">
        <v>921361800</v>
      </c>
      <c r="M653">
        <v>796</v>
      </c>
      <c r="N653">
        <v>1157489.7</v>
      </c>
      <c r="O653">
        <v>119993980</v>
      </c>
      <c r="P653">
        <v>73082833</v>
      </c>
      <c r="Q653">
        <v>34479722</v>
      </c>
      <c r="R653" t="s">
        <v>1992</v>
      </c>
      <c r="S653" t="s">
        <v>1993</v>
      </c>
      <c r="T653" t="s">
        <v>1994</v>
      </c>
      <c r="U653" t="s">
        <v>1998</v>
      </c>
    </row>
    <row r="654" spans="1:21">
      <c r="A654" t="s">
        <v>3339</v>
      </c>
      <c r="B654" t="s">
        <v>31</v>
      </c>
      <c r="C654" t="s">
        <v>3340</v>
      </c>
      <c r="D654" t="s">
        <v>3341</v>
      </c>
      <c r="E654" t="s">
        <v>1982</v>
      </c>
      <c r="F654" t="s">
        <v>71</v>
      </c>
      <c r="G654" t="s">
        <v>1991</v>
      </c>
      <c r="H654">
        <v>105</v>
      </c>
      <c r="I654">
        <v>5474</v>
      </c>
      <c r="J654">
        <v>5</v>
      </c>
      <c r="K654">
        <v>8</v>
      </c>
      <c r="L654">
        <v>5340297046</v>
      </c>
      <c r="M654">
        <v>23944</v>
      </c>
      <c r="N654">
        <v>223032.79</v>
      </c>
      <c r="O654">
        <v>88121090</v>
      </c>
      <c r="P654">
        <v>44509732</v>
      </c>
      <c r="Q654">
        <v>55487</v>
      </c>
      <c r="R654" t="s">
        <v>1992</v>
      </c>
      <c r="S654" t="s">
        <v>1993</v>
      </c>
      <c r="T654" t="s">
        <v>1994</v>
      </c>
      <c r="U654" t="s">
        <v>2289</v>
      </c>
    </row>
    <row r="655" spans="1:21">
      <c r="A655" t="s">
        <v>1112</v>
      </c>
      <c r="B655" t="s">
        <v>31</v>
      </c>
      <c r="C655" t="s">
        <v>1113</v>
      </c>
      <c r="D655" t="s">
        <v>1114</v>
      </c>
      <c r="E655" t="s">
        <v>1987</v>
      </c>
      <c r="F655" t="s">
        <v>1115</v>
      </c>
      <c r="G655" t="s">
        <v>18</v>
      </c>
      <c r="H655">
        <v>5592</v>
      </c>
      <c r="I655">
        <v>0</v>
      </c>
      <c r="J655">
        <v>0</v>
      </c>
      <c r="K655">
        <v>0</v>
      </c>
      <c r="L655">
        <v>708735318</v>
      </c>
      <c r="M655">
        <v>867</v>
      </c>
      <c r="N655">
        <v>817457.11</v>
      </c>
      <c r="O655">
        <v>80884392</v>
      </c>
      <c r="P655">
        <v>68658214</v>
      </c>
      <c r="Q655">
        <v>59416394</v>
      </c>
      <c r="R655" t="s">
        <v>1992</v>
      </c>
      <c r="S655" t="s">
        <v>1993</v>
      </c>
      <c r="T655" t="s">
        <v>1994</v>
      </c>
      <c r="U655" t="s">
        <v>2011</v>
      </c>
    </row>
    <row r="656" spans="1:21">
      <c r="A656" t="s">
        <v>1819</v>
      </c>
      <c r="B656" t="s">
        <v>31</v>
      </c>
      <c r="C656" t="s">
        <v>1820</v>
      </c>
      <c r="D656" t="s">
        <v>2059</v>
      </c>
      <c r="E656" t="s">
        <v>1987</v>
      </c>
      <c r="F656" t="s">
        <v>204</v>
      </c>
      <c r="G656" t="s">
        <v>1376</v>
      </c>
      <c r="H656">
        <v>3337</v>
      </c>
      <c r="I656">
        <v>590</v>
      </c>
      <c r="J656">
        <v>1658</v>
      </c>
      <c r="K656">
        <v>7</v>
      </c>
      <c r="L656">
        <v>5035898082</v>
      </c>
      <c r="M656">
        <v>13051790</v>
      </c>
      <c r="N656">
        <v>385.84</v>
      </c>
      <c r="O656">
        <v>69785</v>
      </c>
      <c r="P656">
        <v>350</v>
      </c>
      <c r="Q656">
        <v>223</v>
      </c>
      <c r="R656" t="s">
        <v>1992</v>
      </c>
      <c r="S656" t="s">
        <v>1993</v>
      </c>
      <c r="T656" t="s">
        <v>1994</v>
      </c>
      <c r="U656" t="s">
        <v>2011</v>
      </c>
    </row>
    <row r="657" spans="1:21">
      <c r="A657" t="s">
        <v>1827</v>
      </c>
      <c r="B657" t="s">
        <v>31</v>
      </c>
      <c r="C657" t="s">
        <v>1828</v>
      </c>
      <c r="D657" t="s">
        <v>2059</v>
      </c>
      <c r="E657" t="s">
        <v>1982</v>
      </c>
      <c r="F657" t="s">
        <v>204</v>
      </c>
      <c r="G657" t="s">
        <v>1376</v>
      </c>
      <c r="H657">
        <v>5089</v>
      </c>
      <c r="I657">
        <v>305</v>
      </c>
      <c r="J657">
        <v>197</v>
      </c>
      <c r="K657">
        <v>1</v>
      </c>
      <c r="L657">
        <v>5348041468</v>
      </c>
      <c r="M657">
        <v>15173030</v>
      </c>
      <c r="N657">
        <v>352.47</v>
      </c>
      <c r="O657">
        <v>79011</v>
      </c>
      <c r="P657">
        <v>333</v>
      </c>
      <c r="Q657">
        <v>245</v>
      </c>
      <c r="R657" t="s">
        <v>1992</v>
      </c>
      <c r="S657" t="s">
        <v>1993</v>
      </c>
      <c r="T657" t="s">
        <v>1994</v>
      </c>
      <c r="U657" t="s">
        <v>2011</v>
      </c>
    </row>
    <row r="658" spans="1:21">
      <c r="A658" t="s">
        <v>1846</v>
      </c>
      <c r="B658" t="s">
        <v>31</v>
      </c>
      <c r="C658" t="s">
        <v>1847</v>
      </c>
      <c r="D658" t="s">
        <v>2059</v>
      </c>
      <c r="E658" t="s">
        <v>1982</v>
      </c>
      <c r="F658" t="s">
        <v>204</v>
      </c>
      <c r="G658" t="s">
        <v>1376</v>
      </c>
      <c r="H658">
        <v>4202</v>
      </c>
      <c r="I658">
        <v>859</v>
      </c>
      <c r="J658">
        <v>528</v>
      </c>
      <c r="K658">
        <v>3</v>
      </c>
      <c r="L658">
        <v>8608361655</v>
      </c>
      <c r="M658">
        <v>25987466</v>
      </c>
      <c r="N658">
        <v>331.25</v>
      </c>
      <c r="O658">
        <v>62642</v>
      </c>
      <c r="P658">
        <v>312</v>
      </c>
      <c r="Q658">
        <v>218</v>
      </c>
      <c r="R658" t="s">
        <v>1992</v>
      </c>
      <c r="S658" t="s">
        <v>1993</v>
      </c>
      <c r="T658" t="s">
        <v>1994</v>
      </c>
      <c r="U658" t="s">
        <v>2011</v>
      </c>
    </row>
    <row r="659" spans="1:21">
      <c r="A659" t="s">
        <v>1853</v>
      </c>
      <c r="B659" t="s">
        <v>31</v>
      </c>
      <c r="C659" t="s">
        <v>1854</v>
      </c>
      <c r="D659" t="s">
        <v>2059</v>
      </c>
      <c r="E659" t="s">
        <v>1987</v>
      </c>
      <c r="F659" t="s">
        <v>204</v>
      </c>
      <c r="G659" t="s">
        <v>1376</v>
      </c>
      <c r="H659">
        <v>4940</v>
      </c>
      <c r="I659">
        <v>223</v>
      </c>
      <c r="J659">
        <v>419</v>
      </c>
      <c r="K659">
        <v>10</v>
      </c>
      <c r="L659">
        <v>3863308263</v>
      </c>
      <c r="M659">
        <v>9424392</v>
      </c>
      <c r="N659">
        <v>409.93</v>
      </c>
      <c r="O659">
        <v>90348</v>
      </c>
      <c r="P659">
        <v>354</v>
      </c>
      <c r="Q659">
        <v>221</v>
      </c>
      <c r="R659" t="s">
        <v>1992</v>
      </c>
      <c r="S659" t="s">
        <v>1993</v>
      </c>
      <c r="T659" t="s">
        <v>1994</v>
      </c>
      <c r="U659" t="s">
        <v>2011</v>
      </c>
    </row>
    <row r="660" spans="1:21">
      <c r="A660" t="s">
        <v>1148</v>
      </c>
      <c r="B660" t="s">
        <v>31</v>
      </c>
      <c r="C660" t="s">
        <v>1149</v>
      </c>
      <c r="D660" t="s">
        <v>31</v>
      </c>
      <c r="E660" t="s">
        <v>1982</v>
      </c>
      <c r="F660" t="s">
        <v>261</v>
      </c>
      <c r="G660" t="s">
        <v>245</v>
      </c>
      <c r="H660">
        <v>265</v>
      </c>
      <c r="I660">
        <v>5181</v>
      </c>
      <c r="J660">
        <v>85</v>
      </c>
      <c r="K660">
        <v>61</v>
      </c>
      <c r="L660">
        <v>1055099634</v>
      </c>
      <c r="M660">
        <v>2518</v>
      </c>
      <c r="N660">
        <v>419022.89</v>
      </c>
      <c r="O660">
        <v>60313943</v>
      </c>
      <c r="P660">
        <v>21593735</v>
      </c>
      <c r="Q660">
        <v>7502351</v>
      </c>
      <c r="R660" t="s">
        <v>1992</v>
      </c>
      <c r="S660" t="s">
        <v>2012</v>
      </c>
      <c r="T660" t="s">
        <v>2032</v>
      </c>
      <c r="U660" t="s">
        <v>2033</v>
      </c>
    </row>
    <row r="661" spans="1:21">
      <c r="A661" t="s">
        <v>1154</v>
      </c>
      <c r="B661" t="s">
        <v>31</v>
      </c>
      <c r="C661" t="s">
        <v>1155</v>
      </c>
      <c r="D661" t="s">
        <v>31</v>
      </c>
      <c r="E661" t="s">
        <v>1982</v>
      </c>
      <c r="F661" t="s">
        <v>261</v>
      </c>
      <c r="G661" t="s">
        <v>245</v>
      </c>
      <c r="H661">
        <v>823</v>
      </c>
      <c r="I661">
        <v>4625</v>
      </c>
      <c r="J661">
        <v>86</v>
      </c>
      <c r="K661">
        <v>58</v>
      </c>
      <c r="L661">
        <v>1079709429</v>
      </c>
      <c r="M661">
        <v>11574</v>
      </c>
      <c r="N661">
        <v>93287.49</v>
      </c>
      <c r="O661">
        <v>74381802</v>
      </c>
      <c r="P661">
        <v>19421551</v>
      </c>
      <c r="Q661">
        <v>6548862</v>
      </c>
      <c r="R661" t="s">
        <v>1992</v>
      </c>
      <c r="S661" t="s">
        <v>2012</v>
      </c>
      <c r="T661" t="s">
        <v>2032</v>
      </c>
      <c r="U661" t="s">
        <v>2033</v>
      </c>
    </row>
    <row r="662" spans="1:21">
      <c r="A662" t="s">
        <v>1813</v>
      </c>
      <c r="B662" t="s">
        <v>31</v>
      </c>
      <c r="C662" t="s">
        <v>1815</v>
      </c>
      <c r="D662" t="s">
        <v>31</v>
      </c>
      <c r="E662" t="s">
        <v>1982</v>
      </c>
      <c r="F662" t="s">
        <v>204</v>
      </c>
      <c r="G662" t="s">
        <v>1376</v>
      </c>
      <c r="H662">
        <v>2275</v>
      </c>
      <c r="I662">
        <v>2644</v>
      </c>
      <c r="J662">
        <v>620</v>
      </c>
      <c r="K662">
        <v>53</v>
      </c>
      <c r="L662">
        <v>1489722439</v>
      </c>
      <c r="M662">
        <v>1863595</v>
      </c>
      <c r="N662">
        <v>799.38</v>
      </c>
      <c r="O662">
        <v>68876</v>
      </c>
      <c r="P662">
        <v>1552</v>
      </c>
      <c r="Q662">
        <v>307</v>
      </c>
      <c r="R662" t="s">
        <v>1983</v>
      </c>
      <c r="S662" t="s">
        <v>2034</v>
      </c>
      <c r="T662" t="s">
        <v>2035</v>
      </c>
      <c r="U662" t="s">
        <v>2036</v>
      </c>
    </row>
    <row r="663" spans="1:21">
      <c r="A663" t="s">
        <v>1791</v>
      </c>
      <c r="B663" t="s">
        <v>31</v>
      </c>
      <c r="C663" t="s">
        <v>1793</v>
      </c>
      <c r="D663" t="s">
        <v>31</v>
      </c>
      <c r="E663" t="s">
        <v>1982</v>
      </c>
      <c r="F663" t="s">
        <v>204</v>
      </c>
      <c r="G663" t="s">
        <v>1376</v>
      </c>
      <c r="H663">
        <v>2223</v>
      </c>
      <c r="I663">
        <v>1914</v>
      </c>
      <c r="J663">
        <v>1414</v>
      </c>
      <c r="K663">
        <v>41</v>
      </c>
      <c r="L663">
        <v>2469244116</v>
      </c>
      <c r="M663">
        <v>3314050</v>
      </c>
      <c r="N663">
        <v>745.08</v>
      </c>
      <c r="O663">
        <v>80253</v>
      </c>
      <c r="P663">
        <v>1096</v>
      </c>
      <c r="Q663">
        <v>318</v>
      </c>
      <c r="R663" t="s">
        <v>1983</v>
      </c>
      <c r="S663" t="s">
        <v>2034</v>
      </c>
      <c r="T663" t="s">
        <v>2037</v>
      </c>
      <c r="U663" t="s">
        <v>2038</v>
      </c>
    </row>
    <row r="664" spans="1:21">
      <c r="A664" t="s">
        <v>1884</v>
      </c>
      <c r="B664" t="s">
        <v>31</v>
      </c>
      <c r="C664" t="s">
        <v>1886</v>
      </c>
      <c r="D664" t="s">
        <v>31</v>
      </c>
      <c r="E664" t="s">
        <v>1987</v>
      </c>
      <c r="F664" t="s">
        <v>204</v>
      </c>
      <c r="G664" t="s">
        <v>1376</v>
      </c>
      <c r="H664">
        <v>1148</v>
      </c>
      <c r="I664">
        <v>2614</v>
      </c>
      <c r="J664">
        <v>1653</v>
      </c>
      <c r="K664">
        <v>177</v>
      </c>
      <c r="L664">
        <v>11634102130</v>
      </c>
      <c r="M664">
        <v>19086789</v>
      </c>
      <c r="N664">
        <v>609.54</v>
      </c>
      <c r="O664">
        <v>92692</v>
      </c>
      <c r="P664">
        <v>863</v>
      </c>
      <c r="Q664">
        <v>258</v>
      </c>
      <c r="R664" t="s">
        <v>1983</v>
      </c>
      <c r="S664" t="s">
        <v>1984</v>
      </c>
      <c r="T664" t="s">
        <v>1985</v>
      </c>
      <c r="U664" t="s">
        <v>1988</v>
      </c>
    </row>
    <row r="665" spans="1:21">
      <c r="A665" t="s">
        <v>1941</v>
      </c>
      <c r="B665" t="s">
        <v>31</v>
      </c>
      <c r="C665" t="s">
        <v>1943</v>
      </c>
      <c r="D665" t="s">
        <v>31</v>
      </c>
      <c r="E665" t="s">
        <v>1982</v>
      </c>
      <c r="F665" t="s">
        <v>1533</v>
      </c>
      <c r="G665" t="s">
        <v>1376</v>
      </c>
      <c r="H665">
        <v>2249</v>
      </c>
      <c r="I665">
        <v>832</v>
      </c>
      <c r="J665">
        <v>2467</v>
      </c>
      <c r="K665">
        <v>44</v>
      </c>
      <c r="L665">
        <v>1712855060</v>
      </c>
      <c r="M665">
        <v>1550650</v>
      </c>
      <c r="N665">
        <v>1104.5999999999999</v>
      </c>
      <c r="O665">
        <v>43137</v>
      </c>
      <c r="P665">
        <v>1506</v>
      </c>
      <c r="Q665">
        <v>503</v>
      </c>
      <c r="R665" t="s">
        <v>1983</v>
      </c>
      <c r="S665" t="s">
        <v>2034</v>
      </c>
      <c r="T665" t="s">
        <v>2035</v>
      </c>
      <c r="U665" t="s">
        <v>2039</v>
      </c>
    </row>
    <row r="666" spans="1:21">
      <c r="A666" t="s">
        <v>1921</v>
      </c>
      <c r="B666" t="s">
        <v>31</v>
      </c>
      <c r="C666" t="s">
        <v>1923</v>
      </c>
      <c r="D666" t="s">
        <v>31</v>
      </c>
      <c r="E666" t="s">
        <v>1987</v>
      </c>
      <c r="F666" t="s">
        <v>1533</v>
      </c>
      <c r="G666" t="s">
        <v>1376</v>
      </c>
      <c r="H666">
        <v>587</v>
      </c>
      <c r="I666">
        <v>3818</v>
      </c>
      <c r="J666">
        <v>1022</v>
      </c>
      <c r="K666">
        <v>165</v>
      </c>
      <c r="L666">
        <v>9491996246</v>
      </c>
      <c r="M666">
        <v>16197604</v>
      </c>
      <c r="N666">
        <v>586.01</v>
      </c>
      <c r="O666">
        <v>112945</v>
      </c>
      <c r="P666">
        <v>818</v>
      </c>
      <c r="Q666">
        <v>242</v>
      </c>
      <c r="R666" t="s">
        <v>1983</v>
      </c>
      <c r="S666" t="s">
        <v>1984</v>
      </c>
      <c r="T666" t="s">
        <v>2002</v>
      </c>
      <c r="U666" t="s">
        <v>2003</v>
      </c>
    </row>
    <row r="667" spans="1:21">
      <c r="A667" t="s">
        <v>1608</v>
      </c>
      <c r="B667" t="s">
        <v>31</v>
      </c>
      <c r="C667" t="s">
        <v>1610</v>
      </c>
      <c r="D667" t="s">
        <v>31</v>
      </c>
      <c r="E667" t="s">
        <v>1987</v>
      </c>
      <c r="F667" t="s">
        <v>204</v>
      </c>
      <c r="G667" t="s">
        <v>1376</v>
      </c>
      <c r="H667">
        <v>4239</v>
      </c>
      <c r="I667">
        <v>775</v>
      </c>
      <c r="J667">
        <v>391</v>
      </c>
      <c r="K667">
        <v>187</v>
      </c>
      <c r="L667">
        <v>4980212084</v>
      </c>
      <c r="M667">
        <v>7146263</v>
      </c>
      <c r="N667">
        <v>696.9</v>
      </c>
      <c r="O667">
        <v>512856</v>
      </c>
      <c r="P667">
        <v>1381</v>
      </c>
      <c r="Q667">
        <v>264</v>
      </c>
      <c r="R667" t="s">
        <v>1983</v>
      </c>
      <c r="S667" t="s">
        <v>1984</v>
      </c>
      <c r="T667" t="s">
        <v>2002</v>
      </c>
      <c r="U667" t="s">
        <v>2003</v>
      </c>
    </row>
    <row r="668" spans="1:21">
      <c r="A668" t="s">
        <v>1925</v>
      </c>
      <c r="B668" t="s">
        <v>31</v>
      </c>
      <c r="C668" t="s">
        <v>1927</v>
      </c>
      <c r="D668" t="s">
        <v>31</v>
      </c>
      <c r="E668" t="s">
        <v>1987</v>
      </c>
      <c r="F668" t="s">
        <v>1533</v>
      </c>
      <c r="G668" t="s">
        <v>1376</v>
      </c>
      <c r="H668">
        <v>566</v>
      </c>
      <c r="I668">
        <v>3885</v>
      </c>
      <c r="J668">
        <v>978</v>
      </c>
      <c r="K668">
        <v>163</v>
      </c>
      <c r="L668">
        <v>9558975434</v>
      </c>
      <c r="M668">
        <v>16315985</v>
      </c>
      <c r="N668">
        <v>585.87</v>
      </c>
      <c r="O668">
        <v>114802</v>
      </c>
      <c r="P668">
        <v>820</v>
      </c>
      <c r="Q668">
        <v>242</v>
      </c>
      <c r="R668" t="s">
        <v>1983</v>
      </c>
      <c r="S668" t="s">
        <v>1984</v>
      </c>
      <c r="T668" t="s">
        <v>2002</v>
      </c>
      <c r="U668" t="s">
        <v>2003</v>
      </c>
    </row>
    <row r="669" spans="1:21">
      <c r="A669" t="s">
        <v>1907</v>
      </c>
      <c r="B669" t="s">
        <v>31</v>
      </c>
      <c r="C669" t="s">
        <v>1909</v>
      </c>
      <c r="D669" t="s">
        <v>31</v>
      </c>
      <c r="E669" t="s">
        <v>1987</v>
      </c>
      <c r="F669" t="s">
        <v>1533</v>
      </c>
      <c r="G669" t="s">
        <v>1376</v>
      </c>
      <c r="H669">
        <v>2102</v>
      </c>
      <c r="I669">
        <v>1474</v>
      </c>
      <c r="J669">
        <v>1820</v>
      </c>
      <c r="K669">
        <v>196</v>
      </c>
      <c r="L669">
        <v>7692725201</v>
      </c>
      <c r="M669">
        <v>12935366</v>
      </c>
      <c r="N669">
        <v>594.70000000000005</v>
      </c>
      <c r="O669">
        <v>86222</v>
      </c>
      <c r="P669">
        <v>918</v>
      </c>
      <c r="Q669">
        <v>246</v>
      </c>
      <c r="R669" t="s">
        <v>1983</v>
      </c>
      <c r="S669" t="s">
        <v>1984</v>
      </c>
      <c r="T669" t="s">
        <v>2002</v>
      </c>
      <c r="U669" t="s">
        <v>2003</v>
      </c>
    </row>
    <row r="670" spans="1:21">
      <c r="A670" t="s">
        <v>1965</v>
      </c>
      <c r="B670" t="s">
        <v>31</v>
      </c>
      <c r="C670" t="s">
        <v>1967</v>
      </c>
      <c r="D670" t="s">
        <v>31</v>
      </c>
      <c r="E670" t="s">
        <v>1987</v>
      </c>
      <c r="F670" t="s">
        <v>1533</v>
      </c>
      <c r="G670" t="s">
        <v>1376</v>
      </c>
      <c r="H670">
        <v>3555</v>
      </c>
      <c r="I670">
        <v>353</v>
      </c>
      <c r="J670">
        <v>1457</v>
      </c>
      <c r="K670">
        <v>227</v>
      </c>
      <c r="L670">
        <v>2773684011</v>
      </c>
      <c r="M670">
        <v>3989025</v>
      </c>
      <c r="N670">
        <v>695.33</v>
      </c>
      <c r="O670">
        <v>31319</v>
      </c>
      <c r="P670">
        <v>692</v>
      </c>
      <c r="Q670">
        <v>394</v>
      </c>
      <c r="R670" t="s">
        <v>1983</v>
      </c>
      <c r="S670" t="s">
        <v>1984</v>
      </c>
      <c r="T670" t="s">
        <v>1985</v>
      </c>
      <c r="U670" t="s">
        <v>1986</v>
      </c>
    </row>
    <row r="671" spans="1:21">
      <c r="A671" t="s">
        <v>1520</v>
      </c>
      <c r="B671" t="s">
        <v>31</v>
      </c>
      <c r="C671" t="s">
        <v>1522</v>
      </c>
      <c r="D671" t="s">
        <v>31</v>
      </c>
      <c r="E671" t="s">
        <v>31</v>
      </c>
      <c r="F671" t="s">
        <v>204</v>
      </c>
      <c r="G671" t="s">
        <v>1376</v>
      </c>
      <c r="H671">
        <v>3185</v>
      </c>
      <c r="I671">
        <v>1021</v>
      </c>
      <c r="J671">
        <v>1197</v>
      </c>
      <c r="K671">
        <v>189</v>
      </c>
      <c r="L671">
        <v>11497004711</v>
      </c>
      <c r="M671">
        <v>33496579</v>
      </c>
      <c r="N671">
        <v>343.23</v>
      </c>
      <c r="O671">
        <v>72447</v>
      </c>
      <c r="P671">
        <v>321</v>
      </c>
      <c r="Q671">
        <v>220</v>
      </c>
      <c r="R671" t="s">
        <v>1983</v>
      </c>
      <c r="S671" t="s">
        <v>1984</v>
      </c>
      <c r="T671" t="s">
        <v>1985</v>
      </c>
      <c r="U671" t="s">
        <v>1988</v>
      </c>
    </row>
    <row r="672" spans="1:21">
      <c r="A672" t="s">
        <v>1780</v>
      </c>
      <c r="B672" t="s">
        <v>31</v>
      </c>
      <c r="C672" t="s">
        <v>1782</v>
      </c>
      <c r="D672" t="s">
        <v>31</v>
      </c>
      <c r="E672" t="s">
        <v>1982</v>
      </c>
      <c r="F672" t="s">
        <v>204</v>
      </c>
      <c r="G672" t="s">
        <v>1376</v>
      </c>
      <c r="H672">
        <v>2445</v>
      </c>
      <c r="I672">
        <v>2381</v>
      </c>
      <c r="J672">
        <v>727</v>
      </c>
      <c r="K672">
        <v>39</v>
      </c>
      <c r="L672">
        <v>3466502360</v>
      </c>
      <c r="M672">
        <v>4220727</v>
      </c>
      <c r="N672">
        <v>821.3</v>
      </c>
      <c r="O672">
        <v>597657</v>
      </c>
      <c r="P672">
        <v>1962</v>
      </c>
      <c r="Q672">
        <v>283</v>
      </c>
      <c r="R672" t="s">
        <v>1983</v>
      </c>
      <c r="S672" t="s">
        <v>2034</v>
      </c>
      <c r="T672" t="s">
        <v>2037</v>
      </c>
      <c r="U672" t="s">
        <v>2038</v>
      </c>
    </row>
    <row r="673" spans="1:21">
      <c r="A673" t="s">
        <v>1805</v>
      </c>
      <c r="B673" t="s">
        <v>31</v>
      </c>
      <c r="C673" t="s">
        <v>1807</v>
      </c>
      <c r="D673" t="s">
        <v>31</v>
      </c>
      <c r="E673" t="s">
        <v>1982</v>
      </c>
      <c r="F673" t="s">
        <v>204</v>
      </c>
      <c r="G673" t="s">
        <v>1376</v>
      </c>
      <c r="H673">
        <v>2403</v>
      </c>
      <c r="I673">
        <v>2465</v>
      </c>
      <c r="J673">
        <v>683</v>
      </c>
      <c r="K673">
        <v>41</v>
      </c>
      <c r="L673">
        <v>3379861784</v>
      </c>
      <c r="M673">
        <v>4877121</v>
      </c>
      <c r="N673">
        <v>693</v>
      </c>
      <c r="O673">
        <v>83228</v>
      </c>
      <c r="P673">
        <v>1570</v>
      </c>
      <c r="Q673">
        <v>259</v>
      </c>
      <c r="R673" t="s">
        <v>1983</v>
      </c>
      <c r="S673" t="s">
        <v>2034</v>
      </c>
      <c r="T673" t="s">
        <v>2037</v>
      </c>
      <c r="U673" t="s">
        <v>2038</v>
      </c>
    </row>
    <row r="674" spans="1:21">
      <c r="A674" t="s">
        <v>1945</v>
      </c>
      <c r="B674" t="s">
        <v>31</v>
      </c>
      <c r="C674" t="s">
        <v>1947</v>
      </c>
      <c r="D674" t="s">
        <v>31</v>
      </c>
      <c r="E674" t="s">
        <v>1982</v>
      </c>
      <c r="F674" t="s">
        <v>1533</v>
      </c>
      <c r="G674" t="s">
        <v>1376</v>
      </c>
      <c r="H674">
        <v>2011</v>
      </c>
      <c r="I674">
        <v>850</v>
      </c>
      <c r="J674">
        <v>2691</v>
      </c>
      <c r="K674">
        <v>40</v>
      </c>
      <c r="L674">
        <v>2160598226</v>
      </c>
      <c r="M674">
        <v>1888757</v>
      </c>
      <c r="N674">
        <v>1143.93</v>
      </c>
      <c r="O674">
        <v>31735</v>
      </c>
      <c r="P674">
        <v>1814</v>
      </c>
      <c r="Q674">
        <v>463</v>
      </c>
      <c r="R674" t="s">
        <v>1983</v>
      </c>
      <c r="S674" t="s">
        <v>2034</v>
      </c>
      <c r="T674" t="s">
        <v>2035</v>
      </c>
      <c r="U674" t="s">
        <v>2039</v>
      </c>
    </row>
    <row r="675" spans="1:21">
      <c r="A675" t="s">
        <v>1809</v>
      </c>
      <c r="B675" t="s">
        <v>31</v>
      </c>
      <c r="C675" t="s">
        <v>1811</v>
      </c>
      <c r="D675" t="s">
        <v>31</v>
      </c>
      <c r="E675" t="s">
        <v>31</v>
      </c>
      <c r="F675" t="s">
        <v>204</v>
      </c>
      <c r="G675" t="s">
        <v>1376</v>
      </c>
      <c r="H675">
        <v>5485</v>
      </c>
      <c r="I675">
        <v>40</v>
      </c>
      <c r="J675">
        <v>67</v>
      </c>
      <c r="K675">
        <v>0</v>
      </c>
      <c r="L675">
        <v>1034133095</v>
      </c>
      <c r="M675">
        <v>865949</v>
      </c>
      <c r="N675">
        <v>1194.22</v>
      </c>
      <c r="O675">
        <v>212309</v>
      </c>
      <c r="P675">
        <v>6969</v>
      </c>
      <c r="Q675">
        <v>324</v>
      </c>
      <c r="R675" t="s">
        <v>1992</v>
      </c>
      <c r="S675" t="s">
        <v>1993</v>
      </c>
      <c r="T675" t="s">
        <v>1994</v>
      </c>
      <c r="U675" t="s">
        <v>2001</v>
      </c>
    </row>
    <row r="676" spans="1:21">
      <c r="A676" t="s">
        <v>1912</v>
      </c>
      <c r="B676" t="s">
        <v>31</v>
      </c>
      <c r="C676" t="s">
        <v>1914</v>
      </c>
      <c r="D676" t="s">
        <v>31</v>
      </c>
      <c r="E676" t="s">
        <v>1987</v>
      </c>
      <c r="F676" t="s">
        <v>1533</v>
      </c>
      <c r="G676" t="s">
        <v>1376</v>
      </c>
      <c r="H676">
        <v>2098</v>
      </c>
      <c r="I676">
        <v>886</v>
      </c>
      <c r="J676">
        <v>2415</v>
      </c>
      <c r="K676">
        <v>193</v>
      </c>
      <c r="L676">
        <v>5476759052</v>
      </c>
      <c r="M676">
        <v>7638857</v>
      </c>
      <c r="N676">
        <v>716.96</v>
      </c>
      <c r="O676">
        <v>29010</v>
      </c>
      <c r="P676">
        <v>727</v>
      </c>
      <c r="Q676">
        <v>401</v>
      </c>
      <c r="R676" t="s">
        <v>1983</v>
      </c>
      <c r="S676" t="s">
        <v>1984</v>
      </c>
      <c r="T676" t="s">
        <v>2002</v>
      </c>
      <c r="U676" t="s">
        <v>2003</v>
      </c>
    </row>
    <row r="677" spans="1:21">
      <c r="A677" t="s">
        <v>1929</v>
      </c>
      <c r="B677" t="s">
        <v>31</v>
      </c>
      <c r="C677" t="s">
        <v>1931</v>
      </c>
      <c r="D677" t="s">
        <v>31</v>
      </c>
      <c r="E677" t="s">
        <v>1987</v>
      </c>
      <c r="F677" t="s">
        <v>1533</v>
      </c>
      <c r="G677" t="s">
        <v>1376</v>
      </c>
      <c r="H677">
        <v>2223</v>
      </c>
      <c r="I677">
        <v>1074</v>
      </c>
      <c r="J677">
        <v>2116</v>
      </c>
      <c r="K677">
        <v>179</v>
      </c>
      <c r="L677">
        <v>6200467794</v>
      </c>
      <c r="M677">
        <v>8315620</v>
      </c>
      <c r="N677">
        <v>745.64</v>
      </c>
      <c r="O677">
        <v>225002</v>
      </c>
      <c r="P677">
        <v>762</v>
      </c>
      <c r="Q677">
        <v>399</v>
      </c>
      <c r="R677" t="s">
        <v>1983</v>
      </c>
      <c r="S677" t="s">
        <v>1984</v>
      </c>
      <c r="T677" t="s">
        <v>2002</v>
      </c>
      <c r="U677" t="s">
        <v>2003</v>
      </c>
    </row>
    <row r="678" spans="1:21">
      <c r="A678" t="s">
        <v>1937</v>
      </c>
      <c r="B678" t="s">
        <v>31</v>
      </c>
      <c r="C678" t="s">
        <v>1939</v>
      </c>
      <c r="D678" t="s">
        <v>31</v>
      </c>
      <c r="E678" t="s">
        <v>1987</v>
      </c>
      <c r="F678" t="s">
        <v>1533</v>
      </c>
      <c r="G678" t="s">
        <v>1376</v>
      </c>
      <c r="H678">
        <v>2220</v>
      </c>
      <c r="I678">
        <v>877</v>
      </c>
      <c r="J678">
        <v>2311</v>
      </c>
      <c r="K678">
        <v>184</v>
      </c>
      <c r="L678">
        <v>5581625920</v>
      </c>
      <c r="M678">
        <v>7846275</v>
      </c>
      <c r="N678">
        <v>711.37</v>
      </c>
      <c r="O678">
        <v>27148</v>
      </c>
      <c r="P678">
        <v>718</v>
      </c>
      <c r="Q678">
        <v>398</v>
      </c>
      <c r="R678" t="s">
        <v>1983</v>
      </c>
      <c r="S678" t="s">
        <v>1984</v>
      </c>
      <c r="T678" t="s">
        <v>2002</v>
      </c>
      <c r="U678" t="s">
        <v>2003</v>
      </c>
    </row>
    <row r="679" spans="1:21">
      <c r="A679" t="s">
        <v>1933</v>
      </c>
      <c r="B679" t="s">
        <v>31</v>
      </c>
      <c r="C679" t="s">
        <v>1935</v>
      </c>
      <c r="D679" t="s">
        <v>31</v>
      </c>
      <c r="E679" t="s">
        <v>1987</v>
      </c>
      <c r="F679" t="s">
        <v>1533</v>
      </c>
      <c r="G679" t="s">
        <v>1376</v>
      </c>
      <c r="H679">
        <v>2154</v>
      </c>
      <c r="I679">
        <v>922</v>
      </c>
      <c r="J679">
        <v>2325</v>
      </c>
      <c r="K679">
        <v>191</v>
      </c>
      <c r="L679">
        <v>5595808139</v>
      </c>
      <c r="M679">
        <v>7835372</v>
      </c>
      <c r="N679">
        <v>714.17</v>
      </c>
      <c r="O679">
        <v>46492</v>
      </c>
      <c r="P679">
        <v>722</v>
      </c>
      <c r="Q679">
        <v>398</v>
      </c>
      <c r="R679" t="s">
        <v>1983</v>
      </c>
      <c r="S679" t="s">
        <v>1984</v>
      </c>
      <c r="T679" t="s">
        <v>2002</v>
      </c>
      <c r="U679" t="s">
        <v>2003</v>
      </c>
    </row>
    <row r="680" spans="1:21">
      <c r="A680" t="s">
        <v>1917</v>
      </c>
      <c r="B680" t="s">
        <v>31</v>
      </c>
      <c r="C680" t="s">
        <v>1919</v>
      </c>
      <c r="D680" t="s">
        <v>31</v>
      </c>
      <c r="E680" t="s">
        <v>1987</v>
      </c>
      <c r="F680" t="s">
        <v>1533</v>
      </c>
      <c r="G680" t="s">
        <v>1376</v>
      </c>
      <c r="H680">
        <v>2952</v>
      </c>
      <c r="I680">
        <v>525</v>
      </c>
      <c r="J680">
        <v>1908</v>
      </c>
      <c r="K680">
        <v>207</v>
      </c>
      <c r="L680">
        <v>4355154910</v>
      </c>
      <c r="M680">
        <v>6324598</v>
      </c>
      <c r="N680">
        <v>688.61</v>
      </c>
      <c r="O680">
        <v>29175</v>
      </c>
      <c r="P680">
        <v>698</v>
      </c>
      <c r="Q680">
        <v>386</v>
      </c>
      <c r="R680" t="s">
        <v>1983</v>
      </c>
      <c r="S680" t="s">
        <v>1984</v>
      </c>
      <c r="T680" t="s">
        <v>2002</v>
      </c>
      <c r="U680" t="s">
        <v>2003</v>
      </c>
    </row>
    <row r="681" spans="1:21">
      <c r="A681" t="s">
        <v>1903</v>
      </c>
      <c r="B681" t="s">
        <v>31</v>
      </c>
      <c r="C681" t="s">
        <v>1905</v>
      </c>
      <c r="D681" t="s">
        <v>31</v>
      </c>
      <c r="E681" t="s">
        <v>1982</v>
      </c>
      <c r="F681" t="s">
        <v>1906</v>
      </c>
      <c r="G681" t="s">
        <v>1376</v>
      </c>
      <c r="H681">
        <v>55</v>
      </c>
      <c r="I681">
        <v>5350</v>
      </c>
      <c r="J681">
        <v>113</v>
      </c>
      <c r="K681">
        <v>74</v>
      </c>
      <c r="L681">
        <v>28907384948</v>
      </c>
      <c r="M681">
        <v>28297002</v>
      </c>
      <c r="N681">
        <v>1021.57</v>
      </c>
      <c r="O681">
        <v>96563</v>
      </c>
      <c r="P681">
        <v>1505</v>
      </c>
      <c r="Q681">
        <v>404</v>
      </c>
      <c r="R681" t="s">
        <v>1992</v>
      </c>
      <c r="S681" t="s">
        <v>2012</v>
      </c>
      <c r="T681" t="s">
        <v>2032</v>
      </c>
      <c r="U681" t="s">
        <v>2040</v>
      </c>
    </row>
    <row r="682" spans="1:21">
      <c r="A682" t="s">
        <v>1957</v>
      </c>
      <c r="B682" t="s">
        <v>31</v>
      </c>
      <c r="C682" t="s">
        <v>1959</v>
      </c>
      <c r="D682" t="s">
        <v>31</v>
      </c>
      <c r="E682" t="s">
        <v>1982</v>
      </c>
      <c r="F682" t="s">
        <v>1533</v>
      </c>
      <c r="G682" t="s">
        <v>1376</v>
      </c>
      <c r="H682">
        <v>1172</v>
      </c>
      <c r="I682">
        <v>3514</v>
      </c>
      <c r="J682">
        <v>895</v>
      </c>
      <c r="K682">
        <v>11</v>
      </c>
      <c r="L682">
        <v>1239134789</v>
      </c>
      <c r="M682">
        <v>1248806</v>
      </c>
      <c r="N682">
        <v>992.26</v>
      </c>
      <c r="O682">
        <v>101106</v>
      </c>
      <c r="P682">
        <v>3533</v>
      </c>
      <c r="Q682">
        <v>292</v>
      </c>
      <c r="R682" t="s">
        <v>1992</v>
      </c>
      <c r="S682" t="s">
        <v>2012</v>
      </c>
      <c r="T682" t="s">
        <v>2041</v>
      </c>
      <c r="U682" t="s">
        <v>2042</v>
      </c>
    </row>
    <row r="683" spans="1:21">
      <c r="A683" t="s">
        <v>1953</v>
      </c>
      <c r="B683" t="s">
        <v>31</v>
      </c>
      <c r="C683" t="s">
        <v>1955</v>
      </c>
      <c r="D683" t="s">
        <v>31</v>
      </c>
      <c r="E683" t="s">
        <v>2025</v>
      </c>
      <c r="F683" t="s">
        <v>1533</v>
      </c>
      <c r="G683" t="s">
        <v>1376</v>
      </c>
      <c r="H683">
        <v>631</v>
      </c>
      <c r="I683">
        <v>4497</v>
      </c>
      <c r="J683">
        <v>434</v>
      </c>
      <c r="K683">
        <v>30</v>
      </c>
      <c r="L683">
        <v>1030463863</v>
      </c>
      <c r="M683">
        <v>445323</v>
      </c>
      <c r="N683">
        <v>2313.9699999999998</v>
      </c>
      <c r="O683">
        <v>237804</v>
      </c>
      <c r="P683">
        <v>21021</v>
      </c>
      <c r="Q683">
        <v>585</v>
      </c>
      <c r="R683" t="s">
        <v>1992</v>
      </c>
      <c r="S683" t="s">
        <v>2012</v>
      </c>
      <c r="T683" t="s">
        <v>2013</v>
      </c>
      <c r="U683" t="s">
        <v>2014</v>
      </c>
    </row>
    <row r="684" spans="1:21">
      <c r="A684" t="s">
        <v>1949</v>
      </c>
      <c r="B684" t="s">
        <v>31</v>
      </c>
      <c r="C684" t="s">
        <v>1951</v>
      </c>
      <c r="D684" t="s">
        <v>31</v>
      </c>
      <c r="E684" t="s">
        <v>31</v>
      </c>
      <c r="F684" t="s">
        <v>1533</v>
      </c>
      <c r="G684" t="s">
        <v>1376</v>
      </c>
      <c r="H684">
        <v>1251</v>
      </c>
      <c r="I684">
        <v>3539</v>
      </c>
      <c r="J684">
        <v>801</v>
      </c>
      <c r="K684">
        <v>1</v>
      </c>
      <c r="L684">
        <v>2318356839</v>
      </c>
      <c r="M684">
        <v>2537600</v>
      </c>
      <c r="N684">
        <v>913.6</v>
      </c>
      <c r="O684">
        <v>73830</v>
      </c>
      <c r="P684">
        <v>2147</v>
      </c>
      <c r="Q684">
        <v>305</v>
      </c>
      <c r="R684" t="s">
        <v>1992</v>
      </c>
      <c r="S684" t="s">
        <v>1993</v>
      </c>
      <c r="T684" t="s">
        <v>2017</v>
      </c>
      <c r="U684" t="s">
        <v>2029</v>
      </c>
    </row>
    <row r="685" spans="1:21">
      <c r="A685" t="s">
        <v>1961</v>
      </c>
      <c r="B685" t="s">
        <v>31</v>
      </c>
      <c r="C685" t="s">
        <v>1963</v>
      </c>
      <c r="D685" t="s">
        <v>31</v>
      </c>
      <c r="E685" t="s">
        <v>1982</v>
      </c>
      <c r="F685" t="s">
        <v>1533</v>
      </c>
      <c r="G685" t="s">
        <v>1376</v>
      </c>
      <c r="H685">
        <v>1590</v>
      </c>
      <c r="I685">
        <v>2782</v>
      </c>
      <c r="J685">
        <v>1220</v>
      </c>
      <c r="K685">
        <v>0</v>
      </c>
      <c r="L685">
        <v>2107750244</v>
      </c>
      <c r="M685">
        <v>1892816</v>
      </c>
      <c r="N685">
        <v>1113.55</v>
      </c>
      <c r="O685">
        <v>101556</v>
      </c>
      <c r="P685">
        <v>3054</v>
      </c>
      <c r="Q685">
        <v>344</v>
      </c>
      <c r="R685" t="s">
        <v>1992</v>
      </c>
      <c r="S685" t="s">
        <v>1993</v>
      </c>
      <c r="T685" t="s">
        <v>1994</v>
      </c>
      <c r="U685" t="s">
        <v>2001</v>
      </c>
    </row>
    <row r="686" spans="1:21">
      <c r="A686" t="s">
        <v>1635</v>
      </c>
      <c r="B686" t="s">
        <v>31</v>
      </c>
      <c r="C686" t="s">
        <v>1637</v>
      </c>
      <c r="D686" t="s">
        <v>31</v>
      </c>
      <c r="E686" t="s">
        <v>1982</v>
      </c>
      <c r="F686" t="s">
        <v>204</v>
      </c>
      <c r="G686" t="s">
        <v>1376</v>
      </c>
      <c r="H686">
        <v>1081</v>
      </c>
      <c r="I686">
        <v>4272</v>
      </c>
      <c r="J686">
        <v>223</v>
      </c>
      <c r="K686">
        <v>16</v>
      </c>
      <c r="L686">
        <v>445592802</v>
      </c>
      <c r="M686">
        <v>180158</v>
      </c>
      <c r="N686">
        <v>2473.34</v>
      </c>
      <c r="O686">
        <v>181056</v>
      </c>
      <c r="P686">
        <v>19168</v>
      </c>
      <c r="Q686">
        <v>666</v>
      </c>
      <c r="R686" t="s">
        <v>1992</v>
      </c>
      <c r="S686" t="s">
        <v>2012</v>
      </c>
      <c r="T686" t="s">
        <v>2013</v>
      </c>
      <c r="U686" t="s">
        <v>2043</v>
      </c>
    </row>
    <row r="687" spans="1:21">
      <c r="A687" t="s">
        <v>3287</v>
      </c>
      <c r="B687" t="s">
        <v>31</v>
      </c>
      <c r="C687" t="s">
        <v>3288</v>
      </c>
      <c r="D687" t="s">
        <v>3289</v>
      </c>
      <c r="E687" t="s">
        <v>1982</v>
      </c>
      <c r="F687" t="s">
        <v>71</v>
      </c>
      <c r="G687" t="s">
        <v>1991</v>
      </c>
      <c r="H687">
        <v>38</v>
      </c>
      <c r="I687">
        <v>5547</v>
      </c>
      <c r="J687">
        <v>3</v>
      </c>
      <c r="K687">
        <v>4</v>
      </c>
      <c r="L687">
        <v>3814175843</v>
      </c>
      <c r="M687">
        <v>7120</v>
      </c>
      <c r="N687">
        <v>535698.85</v>
      </c>
      <c r="O687">
        <v>46506314</v>
      </c>
      <c r="P687">
        <v>13015451</v>
      </c>
      <c r="Q687">
        <v>528401</v>
      </c>
      <c r="R687" t="s">
        <v>1992</v>
      </c>
      <c r="S687" t="s">
        <v>1993</v>
      </c>
      <c r="T687" t="s">
        <v>1994</v>
      </c>
      <c r="U687" t="s">
        <v>1998</v>
      </c>
    </row>
    <row r="688" spans="1:21">
      <c r="A688" t="s">
        <v>1059</v>
      </c>
      <c r="B688" t="s">
        <v>31</v>
      </c>
      <c r="C688" t="s">
        <v>1053</v>
      </c>
      <c r="D688" t="s">
        <v>1060</v>
      </c>
      <c r="E688" t="s">
        <v>1982</v>
      </c>
      <c r="F688" t="s">
        <v>1061</v>
      </c>
      <c r="G688" t="s">
        <v>18</v>
      </c>
      <c r="H688">
        <v>24</v>
      </c>
      <c r="I688">
        <v>5568</v>
      </c>
      <c r="J688">
        <v>0</v>
      </c>
      <c r="K688">
        <v>0</v>
      </c>
      <c r="L688">
        <v>3133290353</v>
      </c>
      <c r="M688">
        <v>15303</v>
      </c>
      <c r="N688">
        <v>204750.07</v>
      </c>
      <c r="O688">
        <v>126636275</v>
      </c>
      <c r="P688">
        <v>91359291</v>
      </c>
      <c r="Q688">
        <v>61676436</v>
      </c>
      <c r="R688" t="s">
        <v>1992</v>
      </c>
      <c r="S688" t="s">
        <v>1993</v>
      </c>
      <c r="T688" t="s">
        <v>1994</v>
      </c>
      <c r="U688" t="s">
        <v>2001</v>
      </c>
    </row>
    <row r="689" spans="1:21">
      <c r="A689" t="s">
        <v>1066</v>
      </c>
      <c r="B689" t="s">
        <v>31</v>
      </c>
      <c r="C689" t="s">
        <v>1053</v>
      </c>
      <c r="D689" t="s">
        <v>1067</v>
      </c>
      <c r="E689" t="s">
        <v>1982</v>
      </c>
      <c r="F689" t="s">
        <v>31</v>
      </c>
      <c r="G689" t="s">
        <v>18</v>
      </c>
      <c r="H689">
        <v>1157</v>
      </c>
      <c r="I689">
        <v>4183</v>
      </c>
      <c r="J689">
        <v>201</v>
      </c>
      <c r="K689">
        <v>51</v>
      </c>
      <c r="L689">
        <v>3924189457</v>
      </c>
      <c r="M689">
        <v>75981</v>
      </c>
      <c r="N689">
        <v>51646.98</v>
      </c>
      <c r="O689">
        <v>2419460</v>
      </c>
      <c r="P689">
        <v>89080</v>
      </c>
      <c r="Q689">
        <v>23742</v>
      </c>
      <c r="R689" t="s">
        <v>1992</v>
      </c>
      <c r="S689" t="s">
        <v>1993</v>
      </c>
      <c r="T689" t="s">
        <v>1994</v>
      </c>
      <c r="U689" t="s">
        <v>2001</v>
      </c>
    </row>
    <row r="690" spans="1:21">
      <c r="A690" t="s">
        <v>1255</v>
      </c>
      <c r="B690" t="s">
        <v>31</v>
      </c>
      <c r="C690" t="s">
        <v>1256</v>
      </c>
      <c r="D690" t="s">
        <v>1257</v>
      </c>
      <c r="E690" t="s">
        <v>1987</v>
      </c>
      <c r="F690" t="s">
        <v>31</v>
      </c>
      <c r="G690" t="s">
        <v>18</v>
      </c>
      <c r="H690">
        <v>305</v>
      </c>
      <c r="I690">
        <v>4913</v>
      </c>
      <c r="J690">
        <v>216</v>
      </c>
      <c r="K690">
        <v>158</v>
      </c>
      <c r="L690">
        <v>9964338633</v>
      </c>
      <c r="M690">
        <v>14</v>
      </c>
      <c r="N690">
        <v>711738473.78999996</v>
      </c>
      <c r="O690">
        <v>836514780</v>
      </c>
      <c r="P690">
        <v>722970987</v>
      </c>
      <c r="Q690">
        <v>615672275</v>
      </c>
      <c r="R690" t="s">
        <v>1983</v>
      </c>
      <c r="S690" t="s">
        <v>1984</v>
      </c>
      <c r="T690" t="s">
        <v>1985</v>
      </c>
      <c r="U690" t="s">
        <v>1988</v>
      </c>
    </row>
    <row r="691" spans="1:21">
      <c r="A691" t="s">
        <v>92</v>
      </c>
      <c r="B691" t="s">
        <v>31</v>
      </c>
      <c r="C691" t="s">
        <v>85</v>
      </c>
      <c r="D691" t="s">
        <v>93</v>
      </c>
      <c r="E691" t="s">
        <v>1982</v>
      </c>
      <c r="F691" t="s">
        <v>87</v>
      </c>
      <c r="G691" t="s">
        <v>18</v>
      </c>
      <c r="H691">
        <v>4741</v>
      </c>
      <c r="I691">
        <v>598</v>
      </c>
      <c r="J691">
        <v>140</v>
      </c>
      <c r="K691">
        <v>113</v>
      </c>
      <c r="L691">
        <v>753507317</v>
      </c>
      <c r="M691">
        <v>7979</v>
      </c>
      <c r="N691">
        <v>94436.31</v>
      </c>
      <c r="O691">
        <v>1073735</v>
      </c>
      <c r="P691">
        <v>171181</v>
      </c>
      <c r="Q691">
        <v>46497</v>
      </c>
      <c r="R691" t="s">
        <v>1992</v>
      </c>
      <c r="S691" t="s">
        <v>1993</v>
      </c>
      <c r="T691" t="s">
        <v>2017</v>
      </c>
      <c r="U691" t="s">
        <v>2062</v>
      </c>
    </row>
    <row r="692" spans="1:21">
      <c r="A692" t="s">
        <v>717</v>
      </c>
      <c r="B692" t="s">
        <v>31</v>
      </c>
      <c r="C692" t="s">
        <v>706</v>
      </c>
      <c r="D692" t="s">
        <v>718</v>
      </c>
      <c r="E692" t="s">
        <v>1987</v>
      </c>
      <c r="F692" t="s">
        <v>197</v>
      </c>
      <c r="G692" t="s">
        <v>18</v>
      </c>
      <c r="H692">
        <v>4597</v>
      </c>
      <c r="I692">
        <v>387</v>
      </c>
      <c r="J692">
        <v>474</v>
      </c>
      <c r="K692">
        <v>134</v>
      </c>
      <c r="L692">
        <v>294191220</v>
      </c>
      <c r="M692">
        <v>52511</v>
      </c>
      <c r="N692">
        <v>5602.47</v>
      </c>
      <c r="O692">
        <v>102390</v>
      </c>
      <c r="P692">
        <v>13265</v>
      </c>
      <c r="Q692">
        <v>2833</v>
      </c>
      <c r="R692" t="s">
        <v>1983</v>
      </c>
      <c r="S692" t="s">
        <v>2019</v>
      </c>
      <c r="T692" t="s">
        <v>2020</v>
      </c>
      <c r="U692" t="s">
        <v>2021</v>
      </c>
    </row>
    <row r="693" spans="1:21">
      <c r="A693" t="s">
        <v>3470</v>
      </c>
      <c r="B693" t="s">
        <v>31</v>
      </c>
      <c r="C693" t="s">
        <v>1206</v>
      </c>
      <c r="D693" t="s">
        <v>3471</v>
      </c>
      <c r="E693" t="s">
        <v>1982</v>
      </c>
      <c r="F693" t="s">
        <v>71</v>
      </c>
      <c r="G693" t="s">
        <v>1991</v>
      </c>
      <c r="H693">
        <v>3249</v>
      </c>
      <c r="I693">
        <v>2333</v>
      </c>
      <c r="J693">
        <v>8</v>
      </c>
      <c r="K693">
        <v>2</v>
      </c>
      <c r="L693">
        <v>2741344584</v>
      </c>
      <c r="M693">
        <v>2251</v>
      </c>
      <c r="N693">
        <v>1217834.1100000001</v>
      </c>
      <c r="O693">
        <v>274830655</v>
      </c>
      <c r="P693">
        <v>141375430</v>
      </c>
      <c r="Q693">
        <v>74345949</v>
      </c>
      <c r="R693" t="s">
        <v>1992</v>
      </c>
      <c r="S693" t="s">
        <v>1993</v>
      </c>
      <c r="T693" t="s">
        <v>1994</v>
      </c>
      <c r="U693" t="s">
        <v>3460</v>
      </c>
    </row>
    <row r="694" spans="1:21">
      <c r="A694" t="s">
        <v>3472</v>
      </c>
      <c r="B694" t="s">
        <v>31</v>
      </c>
      <c r="C694" t="s">
        <v>1206</v>
      </c>
      <c r="D694" t="s">
        <v>3473</v>
      </c>
      <c r="E694" t="s">
        <v>1982</v>
      </c>
      <c r="F694" t="s">
        <v>71</v>
      </c>
      <c r="G694" t="s">
        <v>1991</v>
      </c>
      <c r="H694">
        <v>3214</v>
      </c>
      <c r="I694">
        <v>2367</v>
      </c>
      <c r="J694">
        <v>10</v>
      </c>
      <c r="K694">
        <v>1</v>
      </c>
      <c r="L694">
        <v>2597784422</v>
      </c>
      <c r="M694">
        <v>95</v>
      </c>
      <c r="N694">
        <v>27345099.18</v>
      </c>
      <c r="O694">
        <v>281615565</v>
      </c>
      <c r="P694">
        <v>145343252</v>
      </c>
      <c r="Q694">
        <v>92582685</v>
      </c>
      <c r="R694" t="s">
        <v>1992</v>
      </c>
      <c r="S694" t="s">
        <v>1993</v>
      </c>
      <c r="T694" t="s">
        <v>1994</v>
      </c>
      <c r="U694" t="s">
        <v>3460</v>
      </c>
    </row>
    <row r="695" spans="1:21">
      <c r="A695" t="s">
        <v>1205</v>
      </c>
      <c r="B695" t="s">
        <v>31</v>
      </c>
      <c r="C695" t="s">
        <v>1206</v>
      </c>
      <c r="D695" t="s">
        <v>1207</v>
      </c>
      <c r="E695" t="s">
        <v>1982</v>
      </c>
      <c r="F695" t="s">
        <v>71</v>
      </c>
      <c r="G695" t="s">
        <v>1991</v>
      </c>
      <c r="H695">
        <v>415</v>
      </c>
      <c r="I695">
        <v>5168</v>
      </c>
      <c r="J695">
        <v>5</v>
      </c>
      <c r="K695">
        <v>4</v>
      </c>
      <c r="L695">
        <v>7105404383</v>
      </c>
      <c r="M695">
        <v>1521</v>
      </c>
      <c r="N695">
        <v>4671534.7699999996</v>
      </c>
      <c r="O695">
        <v>157335102</v>
      </c>
      <c r="P695">
        <v>50611001</v>
      </c>
      <c r="Q695">
        <v>2867651</v>
      </c>
      <c r="R695" t="s">
        <v>1992</v>
      </c>
      <c r="S695" t="s">
        <v>1993</v>
      </c>
      <c r="T695" t="s">
        <v>1994</v>
      </c>
      <c r="U695" t="s">
        <v>3460</v>
      </c>
    </row>
    <row r="696" spans="1:21">
      <c r="A696" t="s">
        <v>3420</v>
      </c>
      <c r="B696" t="s">
        <v>31</v>
      </c>
      <c r="C696" t="s">
        <v>3421</v>
      </c>
      <c r="D696" t="s">
        <v>3422</v>
      </c>
      <c r="E696" t="s">
        <v>1987</v>
      </c>
      <c r="F696" t="s">
        <v>71</v>
      </c>
      <c r="G696" t="s">
        <v>1991</v>
      </c>
      <c r="H696">
        <v>214</v>
      </c>
      <c r="I696">
        <v>5356</v>
      </c>
      <c r="J696">
        <v>12</v>
      </c>
      <c r="K696">
        <v>10</v>
      </c>
      <c r="L696">
        <v>3027872127</v>
      </c>
      <c r="M696">
        <v>3915</v>
      </c>
      <c r="N696">
        <v>773402.84</v>
      </c>
      <c r="O696">
        <v>12666242</v>
      </c>
      <c r="P696">
        <v>1846887</v>
      </c>
      <c r="Q696">
        <v>459668</v>
      </c>
      <c r="R696" t="s">
        <v>1992</v>
      </c>
      <c r="S696" t="s">
        <v>1993</v>
      </c>
      <c r="T696" t="s">
        <v>1994</v>
      </c>
      <c r="U696" t="s">
        <v>31</v>
      </c>
    </row>
    <row r="697" spans="1:21">
      <c r="A697" t="s">
        <v>1195</v>
      </c>
      <c r="B697" t="s">
        <v>31</v>
      </c>
      <c r="C697" t="s">
        <v>1196</v>
      </c>
      <c r="D697" t="s">
        <v>31</v>
      </c>
      <c r="E697" t="s">
        <v>1982</v>
      </c>
      <c r="F697" t="s">
        <v>237</v>
      </c>
      <c r="G697" t="s">
        <v>205</v>
      </c>
      <c r="H697">
        <v>77</v>
      </c>
      <c r="I697">
        <v>5198</v>
      </c>
      <c r="J697">
        <v>176</v>
      </c>
      <c r="K697">
        <v>141</v>
      </c>
      <c r="L697">
        <v>11571143433</v>
      </c>
      <c r="M697">
        <v>25</v>
      </c>
      <c r="N697">
        <v>462845737.31999999</v>
      </c>
      <c r="O697">
        <v>761377749</v>
      </c>
      <c r="P697">
        <v>549394082</v>
      </c>
      <c r="Q697">
        <v>422989602</v>
      </c>
      <c r="R697" t="s">
        <v>1983</v>
      </c>
      <c r="S697" t="s">
        <v>1984</v>
      </c>
      <c r="T697" t="s">
        <v>1985</v>
      </c>
      <c r="U697" t="s">
        <v>1988</v>
      </c>
    </row>
    <row r="698" spans="1:21">
      <c r="A698" t="s">
        <v>1864</v>
      </c>
      <c r="B698" t="s">
        <v>31</v>
      </c>
      <c r="C698" t="s">
        <v>1865</v>
      </c>
      <c r="D698" t="s">
        <v>2059</v>
      </c>
      <c r="E698" t="s">
        <v>1982</v>
      </c>
      <c r="F698" t="s">
        <v>204</v>
      </c>
      <c r="G698" t="s">
        <v>1376</v>
      </c>
      <c r="H698">
        <v>5287</v>
      </c>
      <c r="I698">
        <v>86</v>
      </c>
      <c r="J698">
        <v>219</v>
      </c>
      <c r="K698">
        <v>0</v>
      </c>
      <c r="L698">
        <v>1060617167</v>
      </c>
      <c r="M698">
        <v>1058468</v>
      </c>
      <c r="N698">
        <v>1002.03</v>
      </c>
      <c r="O698">
        <v>88264</v>
      </c>
      <c r="P698">
        <v>4144</v>
      </c>
      <c r="Q698">
        <v>300</v>
      </c>
      <c r="R698" t="s">
        <v>1992</v>
      </c>
      <c r="S698" t="s">
        <v>1993</v>
      </c>
      <c r="T698" t="s">
        <v>1994</v>
      </c>
      <c r="U698" t="s">
        <v>31</v>
      </c>
    </row>
    <row r="699" spans="1:21">
      <c r="A699" t="s">
        <v>2044</v>
      </c>
      <c r="B699" t="s">
        <v>31</v>
      </c>
      <c r="C699" t="s">
        <v>1201</v>
      </c>
      <c r="D699" t="s">
        <v>31</v>
      </c>
      <c r="E699" t="s">
        <v>1982</v>
      </c>
      <c r="F699" t="s">
        <v>237</v>
      </c>
      <c r="G699" t="s">
        <v>245</v>
      </c>
      <c r="H699">
        <v>5132</v>
      </c>
      <c r="I699">
        <v>270</v>
      </c>
      <c r="J699">
        <v>103</v>
      </c>
      <c r="K699">
        <v>87</v>
      </c>
      <c r="L699">
        <v>222470559</v>
      </c>
      <c r="M699">
        <v>16</v>
      </c>
      <c r="N699">
        <v>13904409.939999999</v>
      </c>
      <c r="O699">
        <v>29249127</v>
      </c>
      <c r="P699">
        <v>17994757</v>
      </c>
      <c r="Q699">
        <v>9212954</v>
      </c>
      <c r="R699" t="s">
        <v>1992</v>
      </c>
      <c r="S699" t="s">
        <v>2012</v>
      </c>
      <c r="T699" t="s">
        <v>2013</v>
      </c>
      <c r="U699" t="s">
        <v>2026</v>
      </c>
    </row>
    <row r="700" spans="1:21">
      <c r="A700" t="s">
        <v>1237</v>
      </c>
      <c r="B700" t="s">
        <v>31</v>
      </c>
      <c r="C700" t="s">
        <v>1214</v>
      </c>
      <c r="D700" t="s">
        <v>31</v>
      </c>
      <c r="E700" t="s">
        <v>1987</v>
      </c>
      <c r="F700" t="s">
        <v>31</v>
      </c>
      <c r="G700" t="s">
        <v>18</v>
      </c>
      <c r="H700">
        <v>139</v>
      </c>
      <c r="I700">
        <v>5103</v>
      </c>
      <c r="J700">
        <v>201</v>
      </c>
      <c r="K700">
        <v>149</v>
      </c>
      <c r="L700">
        <v>14299452461</v>
      </c>
      <c r="M700">
        <v>1216421</v>
      </c>
      <c r="N700">
        <v>11755.35</v>
      </c>
      <c r="O700">
        <v>988337</v>
      </c>
      <c r="P700">
        <v>71038</v>
      </c>
      <c r="Q700">
        <v>3214</v>
      </c>
      <c r="R700" t="s">
        <v>1983</v>
      </c>
      <c r="S700" t="s">
        <v>1984</v>
      </c>
      <c r="T700" t="s">
        <v>1985</v>
      </c>
      <c r="U700" t="s">
        <v>1988</v>
      </c>
    </row>
    <row r="701" spans="1:21">
      <c r="A701" t="s">
        <v>1871</v>
      </c>
      <c r="B701" t="s">
        <v>31</v>
      </c>
      <c r="C701" t="s">
        <v>1872</v>
      </c>
      <c r="D701" t="s">
        <v>2059</v>
      </c>
      <c r="E701" t="s">
        <v>1987</v>
      </c>
      <c r="F701" t="s">
        <v>204</v>
      </c>
      <c r="G701" t="s">
        <v>1376</v>
      </c>
      <c r="H701">
        <v>1279</v>
      </c>
      <c r="I701">
        <v>2244</v>
      </c>
      <c r="J701">
        <v>1910</v>
      </c>
      <c r="K701">
        <v>159</v>
      </c>
      <c r="L701">
        <v>13226649125</v>
      </c>
      <c r="M701">
        <v>16950925</v>
      </c>
      <c r="N701">
        <v>780.29</v>
      </c>
      <c r="O701">
        <v>83023</v>
      </c>
      <c r="P701">
        <v>1487</v>
      </c>
      <c r="Q701">
        <v>306</v>
      </c>
      <c r="R701" t="s">
        <v>1983</v>
      </c>
      <c r="S701" t="s">
        <v>1984</v>
      </c>
      <c r="T701" t="s">
        <v>1985</v>
      </c>
      <c r="U701" t="s">
        <v>1988</v>
      </c>
    </row>
    <row r="702" spans="1:21">
      <c r="A702" t="s">
        <v>1161</v>
      </c>
      <c r="B702" t="s">
        <v>31</v>
      </c>
      <c r="C702" t="s">
        <v>1162</v>
      </c>
      <c r="D702" t="s">
        <v>1163</v>
      </c>
      <c r="E702" t="s">
        <v>1982</v>
      </c>
      <c r="F702" t="s">
        <v>79</v>
      </c>
      <c r="G702" t="s">
        <v>18</v>
      </c>
      <c r="H702">
        <v>809</v>
      </c>
      <c r="I702">
        <v>4622</v>
      </c>
      <c r="J702">
        <v>93</v>
      </c>
      <c r="K702">
        <v>68</v>
      </c>
      <c r="L702">
        <v>1003531354</v>
      </c>
      <c r="M702">
        <v>5931</v>
      </c>
      <c r="N702">
        <v>169201.04</v>
      </c>
      <c r="O702">
        <v>2321367</v>
      </c>
      <c r="P702">
        <v>350543</v>
      </c>
      <c r="Q702">
        <v>90821</v>
      </c>
      <c r="R702" t="s">
        <v>1983</v>
      </c>
      <c r="S702" t="s">
        <v>1984</v>
      </c>
      <c r="T702" t="s">
        <v>3410</v>
      </c>
      <c r="U702" t="s">
        <v>3411</v>
      </c>
    </row>
    <row r="703" spans="1:21">
      <c r="A703" t="s">
        <v>3444</v>
      </c>
      <c r="B703" t="s">
        <v>31</v>
      </c>
      <c r="C703" t="s">
        <v>1177</v>
      </c>
      <c r="D703" t="s">
        <v>3445</v>
      </c>
      <c r="E703" t="s">
        <v>1982</v>
      </c>
      <c r="F703" t="s">
        <v>71</v>
      </c>
      <c r="G703" t="s">
        <v>1991</v>
      </c>
      <c r="H703">
        <v>574</v>
      </c>
      <c r="I703">
        <v>5010</v>
      </c>
      <c r="J703">
        <v>6</v>
      </c>
      <c r="K703">
        <v>2</v>
      </c>
      <c r="L703">
        <v>1573223794</v>
      </c>
      <c r="M703">
        <v>4771</v>
      </c>
      <c r="N703">
        <v>329747.18</v>
      </c>
      <c r="O703">
        <v>58105638</v>
      </c>
      <c r="P703">
        <v>24497139</v>
      </c>
      <c r="Q703">
        <v>72387</v>
      </c>
      <c r="R703" t="s">
        <v>1992</v>
      </c>
      <c r="S703" t="s">
        <v>1993</v>
      </c>
      <c r="T703" t="s">
        <v>1994</v>
      </c>
      <c r="U703" t="s">
        <v>1995</v>
      </c>
    </row>
    <row r="704" spans="1:21">
      <c r="A704" t="s">
        <v>1262</v>
      </c>
      <c r="B704" t="s">
        <v>31</v>
      </c>
      <c r="C704" t="s">
        <v>1263</v>
      </c>
      <c r="D704" t="s">
        <v>1264</v>
      </c>
      <c r="E704" t="s">
        <v>1987</v>
      </c>
      <c r="F704" t="s">
        <v>87</v>
      </c>
      <c r="G704" t="s">
        <v>18</v>
      </c>
      <c r="H704">
        <v>3521</v>
      </c>
      <c r="I704">
        <v>1278</v>
      </c>
      <c r="J704">
        <v>391</v>
      </c>
      <c r="K704">
        <v>402</v>
      </c>
      <c r="L704">
        <v>4849077157</v>
      </c>
      <c r="M704">
        <v>10204</v>
      </c>
      <c r="N704">
        <v>475213.36</v>
      </c>
      <c r="O704">
        <v>753719114</v>
      </c>
      <c r="P704">
        <v>661480603</v>
      </c>
      <c r="Q704">
        <v>575865107</v>
      </c>
      <c r="R704" t="s">
        <v>1983</v>
      </c>
      <c r="S704" t="s">
        <v>1984</v>
      </c>
      <c r="T704" t="s">
        <v>1985</v>
      </c>
      <c r="U704" t="s">
        <v>1988</v>
      </c>
    </row>
    <row r="705" spans="1:21">
      <c r="A705" t="s">
        <v>1133</v>
      </c>
      <c r="B705" t="s">
        <v>31</v>
      </c>
      <c r="C705" t="s">
        <v>1113</v>
      </c>
      <c r="D705" t="s">
        <v>31</v>
      </c>
      <c r="E705" t="s">
        <v>1987</v>
      </c>
      <c r="F705" t="s">
        <v>31</v>
      </c>
      <c r="G705" t="s">
        <v>18</v>
      </c>
      <c r="H705">
        <v>5587</v>
      </c>
      <c r="I705">
        <v>5</v>
      </c>
      <c r="J705">
        <v>0</v>
      </c>
      <c r="K705">
        <v>0</v>
      </c>
      <c r="L705">
        <v>721397787</v>
      </c>
      <c r="M705">
        <v>13</v>
      </c>
      <c r="N705">
        <v>55492137.460000001</v>
      </c>
      <c r="O705">
        <v>86525775</v>
      </c>
      <c r="P705">
        <v>66085516</v>
      </c>
      <c r="Q705">
        <v>57918960</v>
      </c>
      <c r="R705" t="s">
        <v>1992</v>
      </c>
      <c r="S705" t="s">
        <v>1993</v>
      </c>
      <c r="T705" t="s">
        <v>1994</v>
      </c>
      <c r="U705" t="s">
        <v>2011</v>
      </c>
    </row>
    <row r="706" spans="1:21">
      <c r="A706" t="s">
        <v>3496</v>
      </c>
      <c r="B706" t="s">
        <v>31</v>
      </c>
      <c r="C706" t="s">
        <v>3497</v>
      </c>
      <c r="D706" t="s">
        <v>3498</v>
      </c>
      <c r="E706" t="s">
        <v>31</v>
      </c>
      <c r="F706" t="s">
        <v>71</v>
      </c>
      <c r="G706" t="s">
        <v>1991</v>
      </c>
      <c r="H706">
        <v>122</v>
      </c>
      <c r="I706">
        <v>5469</v>
      </c>
      <c r="J706">
        <v>1</v>
      </c>
      <c r="K706">
        <v>0</v>
      </c>
      <c r="L706">
        <v>5399758775</v>
      </c>
      <c r="M706">
        <v>16997</v>
      </c>
      <c r="N706">
        <v>317688.93</v>
      </c>
      <c r="O706">
        <v>7443821</v>
      </c>
      <c r="P706">
        <v>561770</v>
      </c>
      <c r="Q706">
        <v>150210</v>
      </c>
      <c r="R706" t="s">
        <v>1992</v>
      </c>
      <c r="S706" t="s">
        <v>1993</v>
      </c>
      <c r="T706" t="s">
        <v>1994</v>
      </c>
      <c r="U706" t="s">
        <v>3460</v>
      </c>
    </row>
    <row r="707" spans="1:21">
      <c r="A707" t="s">
        <v>3503</v>
      </c>
      <c r="B707" t="s">
        <v>31</v>
      </c>
      <c r="C707" t="s">
        <v>3504</v>
      </c>
      <c r="D707" t="s">
        <v>3505</v>
      </c>
      <c r="E707" t="s">
        <v>1982</v>
      </c>
      <c r="F707" t="s">
        <v>71</v>
      </c>
      <c r="G707" t="s">
        <v>1991</v>
      </c>
      <c r="H707">
        <v>9</v>
      </c>
      <c r="I707">
        <v>5575</v>
      </c>
      <c r="J707">
        <v>5</v>
      </c>
      <c r="K707">
        <v>3</v>
      </c>
      <c r="L707">
        <v>4704547749</v>
      </c>
      <c r="M707">
        <v>155</v>
      </c>
      <c r="N707">
        <v>30351920.960000001</v>
      </c>
      <c r="O707">
        <v>244495298</v>
      </c>
      <c r="P707">
        <v>145358948</v>
      </c>
      <c r="Q707">
        <v>57129157</v>
      </c>
      <c r="R707" t="s">
        <v>1992</v>
      </c>
      <c r="S707" t="s">
        <v>1993</v>
      </c>
      <c r="T707" t="s">
        <v>1994</v>
      </c>
      <c r="U707" t="s">
        <v>3015</v>
      </c>
    </row>
    <row r="708" spans="1:21">
      <c r="A708" t="s">
        <v>1891</v>
      </c>
      <c r="B708" t="s">
        <v>31</v>
      </c>
      <c r="C708" t="s">
        <v>1892</v>
      </c>
      <c r="D708" t="s">
        <v>2059</v>
      </c>
      <c r="E708" t="s">
        <v>1982</v>
      </c>
      <c r="F708" t="s">
        <v>204</v>
      </c>
      <c r="G708" t="s">
        <v>1376</v>
      </c>
      <c r="H708">
        <v>2525</v>
      </c>
      <c r="I708">
        <v>1719</v>
      </c>
      <c r="J708">
        <v>1348</v>
      </c>
      <c r="K708">
        <v>0</v>
      </c>
      <c r="L708">
        <v>3555396333</v>
      </c>
      <c r="M708">
        <v>7287729</v>
      </c>
      <c r="N708">
        <v>487.86</v>
      </c>
      <c r="O708">
        <v>72516</v>
      </c>
      <c r="P708">
        <v>516</v>
      </c>
      <c r="Q708">
        <v>255</v>
      </c>
      <c r="R708" t="s">
        <v>1992</v>
      </c>
      <c r="S708" t="s">
        <v>1993</v>
      </c>
      <c r="T708" t="s">
        <v>2017</v>
      </c>
      <c r="U708" t="s">
        <v>3509</v>
      </c>
    </row>
    <row r="709" spans="1:21">
      <c r="A709" t="s">
        <v>3510</v>
      </c>
      <c r="B709" t="s">
        <v>31</v>
      </c>
      <c r="C709" t="s">
        <v>3511</v>
      </c>
      <c r="D709" t="s">
        <v>3512</v>
      </c>
      <c r="E709" t="s">
        <v>1982</v>
      </c>
      <c r="F709" t="s">
        <v>71</v>
      </c>
      <c r="G709" t="s">
        <v>1991</v>
      </c>
      <c r="H709">
        <v>46</v>
      </c>
      <c r="I709">
        <v>5538</v>
      </c>
      <c r="J709">
        <v>7</v>
      </c>
      <c r="K709">
        <v>1</v>
      </c>
      <c r="L709">
        <v>1997370446</v>
      </c>
      <c r="M709">
        <v>493</v>
      </c>
      <c r="N709">
        <v>4051461.35</v>
      </c>
      <c r="O709">
        <v>75353746</v>
      </c>
      <c r="P709">
        <v>28471798</v>
      </c>
      <c r="Q709">
        <v>6363337</v>
      </c>
      <c r="R709" t="s">
        <v>1992</v>
      </c>
      <c r="S709" t="s">
        <v>1993</v>
      </c>
      <c r="T709" t="s">
        <v>1994</v>
      </c>
      <c r="U709" t="s">
        <v>3015</v>
      </c>
    </row>
    <row r="710" spans="1:21">
      <c r="A710" t="s">
        <v>1241</v>
      </c>
      <c r="B710" t="s">
        <v>31</v>
      </c>
      <c r="C710" t="s">
        <v>1242</v>
      </c>
      <c r="D710" t="s">
        <v>1243</v>
      </c>
      <c r="E710" t="s">
        <v>1987</v>
      </c>
      <c r="F710" t="s">
        <v>197</v>
      </c>
      <c r="G710" t="s">
        <v>18</v>
      </c>
      <c r="H710">
        <v>203</v>
      </c>
      <c r="I710">
        <v>5014</v>
      </c>
      <c r="J710">
        <v>224</v>
      </c>
      <c r="K710">
        <v>151</v>
      </c>
      <c r="L710">
        <v>10677097747</v>
      </c>
      <c r="M710">
        <v>148296</v>
      </c>
      <c r="N710">
        <v>71998.559999999998</v>
      </c>
      <c r="O710">
        <v>865950040</v>
      </c>
      <c r="P710">
        <v>747227478</v>
      </c>
      <c r="Q710">
        <v>633698003</v>
      </c>
      <c r="R710" t="s">
        <v>1983</v>
      </c>
      <c r="S710" t="s">
        <v>1984</v>
      </c>
      <c r="T710" t="s">
        <v>1985</v>
      </c>
      <c r="U710" t="s">
        <v>1988</v>
      </c>
    </row>
    <row r="711" spans="1:21">
      <c r="A711" t="s">
        <v>104</v>
      </c>
      <c r="B711" t="s">
        <v>31</v>
      </c>
      <c r="C711" t="s">
        <v>85</v>
      </c>
      <c r="D711" t="s">
        <v>104</v>
      </c>
      <c r="E711" t="s">
        <v>1982</v>
      </c>
      <c r="F711" t="s">
        <v>87</v>
      </c>
      <c r="G711" t="s">
        <v>18</v>
      </c>
      <c r="H711">
        <v>3399</v>
      </c>
      <c r="I711">
        <v>2020</v>
      </c>
      <c r="J711">
        <v>116</v>
      </c>
      <c r="K711">
        <v>57</v>
      </c>
      <c r="L711">
        <v>869738716</v>
      </c>
      <c r="M711">
        <v>19813</v>
      </c>
      <c r="N711">
        <v>43897.38</v>
      </c>
      <c r="O711">
        <v>600254</v>
      </c>
      <c r="P711">
        <v>73790</v>
      </c>
      <c r="Q711">
        <v>20086</v>
      </c>
      <c r="R711" t="s">
        <v>1992</v>
      </c>
      <c r="S711" t="s">
        <v>1993</v>
      </c>
      <c r="T711" t="s">
        <v>2017</v>
      </c>
      <c r="U711" t="s">
        <v>2062</v>
      </c>
    </row>
    <row r="712" spans="1:21">
      <c r="A712" t="s">
        <v>3513</v>
      </c>
      <c r="B712" t="s">
        <v>31</v>
      </c>
      <c r="C712" t="s">
        <v>3514</v>
      </c>
      <c r="D712" t="s">
        <v>3515</v>
      </c>
      <c r="E712" t="s">
        <v>1982</v>
      </c>
      <c r="F712" t="s">
        <v>71</v>
      </c>
      <c r="G712" t="s">
        <v>1991</v>
      </c>
      <c r="H712">
        <v>2336</v>
      </c>
      <c r="I712">
        <v>3252</v>
      </c>
      <c r="J712">
        <v>2</v>
      </c>
      <c r="K712">
        <v>2</v>
      </c>
      <c r="L712">
        <v>3290921811</v>
      </c>
      <c r="M712">
        <v>8365</v>
      </c>
      <c r="N712">
        <v>393415.64</v>
      </c>
      <c r="O712">
        <v>294039681</v>
      </c>
      <c r="P712">
        <v>175094470</v>
      </c>
      <c r="Q712">
        <v>122251</v>
      </c>
      <c r="R712" t="s">
        <v>1992</v>
      </c>
      <c r="S712" t="s">
        <v>1993</v>
      </c>
      <c r="T712" t="s">
        <v>1994</v>
      </c>
      <c r="U712" t="s">
        <v>3460</v>
      </c>
    </row>
    <row r="713" spans="1:21">
      <c r="A713" t="s">
        <v>3516</v>
      </c>
      <c r="B713" t="s">
        <v>31</v>
      </c>
      <c r="C713" t="s">
        <v>3514</v>
      </c>
      <c r="D713" t="s">
        <v>3517</v>
      </c>
      <c r="E713" t="s">
        <v>1982</v>
      </c>
      <c r="F713" t="s">
        <v>71</v>
      </c>
      <c r="G713" t="s">
        <v>1991</v>
      </c>
      <c r="H713">
        <v>3206</v>
      </c>
      <c r="I713">
        <v>2380</v>
      </c>
      <c r="J713">
        <v>4</v>
      </c>
      <c r="K713">
        <v>2</v>
      </c>
      <c r="L713">
        <v>2506284254</v>
      </c>
      <c r="M713">
        <v>1599</v>
      </c>
      <c r="N713">
        <v>1567407.29</v>
      </c>
      <c r="O713">
        <v>294352397</v>
      </c>
      <c r="P713">
        <v>219421280</v>
      </c>
      <c r="Q713">
        <v>2201802</v>
      </c>
      <c r="R713" t="s">
        <v>1992</v>
      </c>
      <c r="S713" t="s">
        <v>1993</v>
      </c>
      <c r="T713" t="s">
        <v>1994</v>
      </c>
      <c r="U713" t="s">
        <v>3460</v>
      </c>
    </row>
    <row r="714" spans="1:21">
      <c r="A714" t="s">
        <v>3526</v>
      </c>
      <c r="B714" t="s">
        <v>31</v>
      </c>
      <c r="C714" t="s">
        <v>3527</v>
      </c>
      <c r="D714" t="s">
        <v>3528</v>
      </c>
      <c r="E714" t="s">
        <v>1987</v>
      </c>
      <c r="F714" t="s">
        <v>71</v>
      </c>
      <c r="G714" t="s">
        <v>1991</v>
      </c>
      <c r="H714">
        <v>3686</v>
      </c>
      <c r="I714">
        <v>1902</v>
      </c>
      <c r="J714">
        <v>1</v>
      </c>
      <c r="K714">
        <v>3</v>
      </c>
      <c r="L714">
        <v>2402411828</v>
      </c>
      <c r="M714">
        <v>1396</v>
      </c>
      <c r="N714">
        <v>1720925.38</v>
      </c>
      <c r="O714">
        <v>313422734</v>
      </c>
      <c r="P714">
        <v>223005831</v>
      </c>
      <c r="Q714">
        <v>162138524</v>
      </c>
      <c r="R714" t="s">
        <v>1992</v>
      </c>
      <c r="S714" t="s">
        <v>1993</v>
      </c>
      <c r="T714" t="s">
        <v>1994</v>
      </c>
      <c r="U714" t="s">
        <v>3460</v>
      </c>
    </row>
    <row r="715" spans="1:21">
      <c r="A715" t="s">
        <v>1336</v>
      </c>
      <c r="B715" t="s">
        <v>31</v>
      </c>
      <c r="C715" t="s">
        <v>1337</v>
      </c>
      <c r="D715" t="s">
        <v>31</v>
      </c>
      <c r="E715" t="s">
        <v>1982</v>
      </c>
      <c r="F715" t="s">
        <v>197</v>
      </c>
      <c r="G715" t="s">
        <v>18</v>
      </c>
      <c r="H715">
        <v>2704</v>
      </c>
      <c r="I715">
        <v>2335</v>
      </c>
      <c r="J715">
        <v>401</v>
      </c>
      <c r="K715">
        <v>152</v>
      </c>
      <c r="L715">
        <v>603989347</v>
      </c>
      <c r="M715">
        <v>4522</v>
      </c>
      <c r="N715">
        <v>133566.85999999999</v>
      </c>
      <c r="O715">
        <v>3017511</v>
      </c>
      <c r="P715">
        <v>604864</v>
      </c>
      <c r="Q715">
        <v>114130</v>
      </c>
      <c r="R715" t="s">
        <v>1983</v>
      </c>
      <c r="S715" t="s">
        <v>2019</v>
      </c>
      <c r="T715" t="s">
        <v>2020</v>
      </c>
      <c r="U715" t="s">
        <v>2045</v>
      </c>
    </row>
    <row r="716" spans="1:21">
      <c r="A716" t="s">
        <v>3524</v>
      </c>
      <c r="B716" t="s">
        <v>31</v>
      </c>
      <c r="C716" t="s">
        <v>1294</v>
      </c>
      <c r="D716" t="s">
        <v>3525</v>
      </c>
      <c r="E716" t="s">
        <v>1987</v>
      </c>
      <c r="F716" t="s">
        <v>71</v>
      </c>
      <c r="G716" t="s">
        <v>1991</v>
      </c>
      <c r="H716">
        <v>3804</v>
      </c>
      <c r="I716">
        <v>1767</v>
      </c>
      <c r="J716">
        <v>11</v>
      </c>
      <c r="K716">
        <v>10</v>
      </c>
      <c r="L716">
        <v>3150844864</v>
      </c>
      <c r="M716">
        <v>286</v>
      </c>
      <c r="N716">
        <v>11016940.08</v>
      </c>
      <c r="O716">
        <v>415396870</v>
      </c>
      <c r="P716">
        <v>317362834</v>
      </c>
      <c r="Q716">
        <v>213060334</v>
      </c>
      <c r="R716" t="s">
        <v>1992</v>
      </c>
      <c r="S716" t="s">
        <v>1993</v>
      </c>
      <c r="T716" t="s">
        <v>1994</v>
      </c>
      <c r="U716" t="s">
        <v>3460</v>
      </c>
    </row>
    <row r="717" spans="1:21">
      <c r="A717" t="s">
        <v>1300</v>
      </c>
      <c r="B717" t="s">
        <v>31</v>
      </c>
      <c r="C717" t="s">
        <v>1301</v>
      </c>
      <c r="D717" t="s">
        <v>1302</v>
      </c>
      <c r="E717" t="s">
        <v>1987</v>
      </c>
      <c r="F717" t="s">
        <v>261</v>
      </c>
      <c r="G717" t="s">
        <v>1991</v>
      </c>
      <c r="H717">
        <v>3850</v>
      </c>
      <c r="I717">
        <v>1742</v>
      </c>
      <c r="J717">
        <v>0</v>
      </c>
      <c r="K717">
        <v>0</v>
      </c>
      <c r="L717">
        <v>2182075994</v>
      </c>
      <c r="M717">
        <v>685</v>
      </c>
      <c r="N717">
        <v>3185512.4</v>
      </c>
      <c r="O717">
        <v>308452471</v>
      </c>
      <c r="P717">
        <v>226353449</v>
      </c>
      <c r="Q717">
        <v>163004744</v>
      </c>
      <c r="R717" t="s">
        <v>1992</v>
      </c>
      <c r="S717" t="s">
        <v>1993</v>
      </c>
      <c r="T717" t="s">
        <v>1994</v>
      </c>
      <c r="U717" t="s">
        <v>3460</v>
      </c>
    </row>
    <row r="718" spans="1:21">
      <c r="A718" t="s">
        <v>1324</v>
      </c>
      <c r="B718" t="s">
        <v>31</v>
      </c>
      <c r="C718" t="s">
        <v>1301</v>
      </c>
      <c r="D718" t="s">
        <v>1325</v>
      </c>
      <c r="E718" t="s">
        <v>1987</v>
      </c>
      <c r="F718" t="s">
        <v>31</v>
      </c>
      <c r="G718" t="s">
        <v>18</v>
      </c>
      <c r="H718">
        <v>3833</v>
      </c>
      <c r="I718">
        <v>1753</v>
      </c>
      <c r="J718">
        <v>4</v>
      </c>
      <c r="K718">
        <v>2</v>
      </c>
      <c r="L718">
        <v>2219249226</v>
      </c>
      <c r="M718">
        <v>1268</v>
      </c>
      <c r="N718">
        <v>1750196.55</v>
      </c>
      <c r="O718">
        <v>304927522</v>
      </c>
      <c r="P718">
        <v>220372307</v>
      </c>
      <c r="Q718">
        <v>151455434</v>
      </c>
      <c r="R718" t="s">
        <v>1992</v>
      </c>
      <c r="S718" t="s">
        <v>1993</v>
      </c>
      <c r="T718" t="s">
        <v>1994</v>
      </c>
      <c r="U718" t="s">
        <v>3460</v>
      </c>
    </row>
    <row r="719" spans="1:21">
      <c r="A719" t="s">
        <v>1307</v>
      </c>
      <c r="B719" t="s">
        <v>31</v>
      </c>
      <c r="C719" t="s">
        <v>1301</v>
      </c>
      <c r="D719" t="s">
        <v>1308</v>
      </c>
      <c r="E719" t="s">
        <v>1987</v>
      </c>
      <c r="F719" t="s">
        <v>1309</v>
      </c>
      <c r="G719" t="s">
        <v>18</v>
      </c>
      <c r="H719">
        <v>3852</v>
      </c>
      <c r="I719">
        <v>1737</v>
      </c>
      <c r="J719">
        <v>3</v>
      </c>
      <c r="K719">
        <v>0</v>
      </c>
      <c r="L719">
        <v>2178604320</v>
      </c>
      <c r="M719">
        <v>10</v>
      </c>
      <c r="N719">
        <v>217860432</v>
      </c>
      <c r="O719">
        <v>307335809</v>
      </c>
      <c r="P719">
        <v>220303002</v>
      </c>
      <c r="Q719">
        <v>168156889</v>
      </c>
      <c r="R719" t="s">
        <v>1992</v>
      </c>
      <c r="S719" t="s">
        <v>1993</v>
      </c>
      <c r="T719" t="s">
        <v>1994</v>
      </c>
      <c r="U719" t="s">
        <v>3460</v>
      </c>
    </row>
    <row r="720" spans="1:21">
      <c r="A720" t="s">
        <v>1314</v>
      </c>
      <c r="B720" t="s">
        <v>31</v>
      </c>
      <c r="C720" t="s">
        <v>1301</v>
      </c>
      <c r="D720" t="s">
        <v>1315</v>
      </c>
      <c r="E720" t="s">
        <v>1987</v>
      </c>
      <c r="F720" t="s">
        <v>31</v>
      </c>
      <c r="G720" t="s">
        <v>18</v>
      </c>
      <c r="H720">
        <v>3837</v>
      </c>
      <c r="I720">
        <v>1748</v>
      </c>
      <c r="J720">
        <v>5</v>
      </c>
      <c r="K720">
        <v>2</v>
      </c>
      <c r="L720">
        <v>2290503892</v>
      </c>
      <c r="M720">
        <v>1379</v>
      </c>
      <c r="N720">
        <v>1660989.04</v>
      </c>
      <c r="O720">
        <v>311065881</v>
      </c>
      <c r="P720">
        <v>223168870</v>
      </c>
      <c r="Q720">
        <v>156163756</v>
      </c>
      <c r="R720" t="s">
        <v>1992</v>
      </c>
      <c r="S720" t="s">
        <v>1993</v>
      </c>
      <c r="T720" t="s">
        <v>1994</v>
      </c>
      <c r="U720" t="s">
        <v>3460</v>
      </c>
    </row>
    <row r="721" spans="1:21">
      <c r="A721" t="s">
        <v>1319</v>
      </c>
      <c r="B721" t="s">
        <v>31</v>
      </c>
      <c r="C721" t="s">
        <v>1301</v>
      </c>
      <c r="D721" t="s">
        <v>1320</v>
      </c>
      <c r="E721" t="s">
        <v>1987</v>
      </c>
      <c r="F721" t="s">
        <v>31</v>
      </c>
      <c r="G721" t="s">
        <v>18</v>
      </c>
      <c r="H721">
        <v>3843</v>
      </c>
      <c r="I721">
        <v>1746</v>
      </c>
      <c r="J721">
        <v>2</v>
      </c>
      <c r="K721">
        <v>1</v>
      </c>
      <c r="L721">
        <v>2138709147</v>
      </c>
      <c r="M721">
        <v>413</v>
      </c>
      <c r="N721">
        <v>5178472.51</v>
      </c>
      <c r="O721">
        <v>300441852</v>
      </c>
      <c r="P721">
        <v>223950520</v>
      </c>
      <c r="Q721">
        <v>162535023</v>
      </c>
      <c r="R721" t="s">
        <v>1992</v>
      </c>
      <c r="S721" t="s">
        <v>1993</v>
      </c>
      <c r="T721" t="s">
        <v>1994</v>
      </c>
      <c r="U721" t="s">
        <v>3460</v>
      </c>
    </row>
    <row r="722" spans="1:21">
      <c r="A722" t="s">
        <v>3538</v>
      </c>
      <c r="B722" t="s">
        <v>31</v>
      </c>
      <c r="C722" t="s">
        <v>3539</v>
      </c>
      <c r="D722" t="s">
        <v>3540</v>
      </c>
      <c r="E722" t="s">
        <v>1987</v>
      </c>
      <c r="F722" t="s">
        <v>71</v>
      </c>
      <c r="G722" t="s">
        <v>1991</v>
      </c>
      <c r="H722">
        <v>3280</v>
      </c>
      <c r="I722">
        <v>2309</v>
      </c>
      <c r="J722">
        <v>3</v>
      </c>
      <c r="K722">
        <v>0</v>
      </c>
      <c r="L722">
        <v>3655684935</v>
      </c>
      <c r="M722">
        <v>4274</v>
      </c>
      <c r="N722">
        <v>855331.06</v>
      </c>
      <c r="O722">
        <v>355829828</v>
      </c>
      <c r="P722">
        <v>180938672</v>
      </c>
      <c r="Q722">
        <v>354087</v>
      </c>
      <c r="R722" t="s">
        <v>1992</v>
      </c>
      <c r="S722" t="s">
        <v>1993</v>
      </c>
      <c r="T722" t="s">
        <v>1994</v>
      </c>
      <c r="U722" t="s">
        <v>3460</v>
      </c>
    </row>
    <row r="723" spans="1:21">
      <c r="A723" t="s">
        <v>864</v>
      </c>
      <c r="B723" t="s">
        <v>31</v>
      </c>
      <c r="C723" t="s">
        <v>858</v>
      </c>
      <c r="D723" t="s">
        <v>865</v>
      </c>
      <c r="E723" t="s">
        <v>1987</v>
      </c>
      <c r="F723" t="s">
        <v>71</v>
      </c>
      <c r="G723" t="s">
        <v>18</v>
      </c>
      <c r="H723">
        <v>4875</v>
      </c>
      <c r="I723">
        <v>444</v>
      </c>
      <c r="J723">
        <v>182</v>
      </c>
      <c r="K723">
        <v>91</v>
      </c>
      <c r="L723">
        <v>391696131</v>
      </c>
      <c r="M723">
        <v>13</v>
      </c>
      <c r="N723">
        <v>30130471.620000001</v>
      </c>
      <c r="O723">
        <v>44754788</v>
      </c>
      <c r="P723">
        <v>32119910</v>
      </c>
      <c r="Q723">
        <v>25797731</v>
      </c>
      <c r="R723" t="s">
        <v>1983</v>
      </c>
      <c r="S723" t="s">
        <v>2019</v>
      </c>
      <c r="T723" t="s">
        <v>2020</v>
      </c>
      <c r="U723" t="s">
        <v>2021</v>
      </c>
    </row>
    <row r="724" spans="1:21">
      <c r="A724" t="s">
        <v>3533</v>
      </c>
      <c r="B724" t="s">
        <v>31</v>
      </c>
      <c r="C724" t="s">
        <v>3534</v>
      </c>
      <c r="D724" t="s">
        <v>3535</v>
      </c>
      <c r="E724" t="s">
        <v>1987</v>
      </c>
      <c r="F724" t="s">
        <v>71</v>
      </c>
      <c r="G724" t="s">
        <v>1991</v>
      </c>
      <c r="H724">
        <v>3768</v>
      </c>
      <c r="I724">
        <v>1819</v>
      </c>
      <c r="J724">
        <v>3</v>
      </c>
      <c r="K724">
        <v>2</v>
      </c>
      <c r="L724">
        <v>2616784337</v>
      </c>
      <c r="M724">
        <v>227</v>
      </c>
      <c r="N724">
        <v>11527684.300000001</v>
      </c>
      <c r="O724">
        <v>337603503</v>
      </c>
      <c r="P724">
        <v>262447929</v>
      </c>
      <c r="Q724">
        <v>157537249</v>
      </c>
      <c r="R724" t="s">
        <v>1992</v>
      </c>
      <c r="S724" t="s">
        <v>1993</v>
      </c>
      <c r="T724" t="s">
        <v>1994</v>
      </c>
      <c r="U724" t="s">
        <v>3460</v>
      </c>
    </row>
    <row r="725" spans="1:21">
      <c r="A725" t="s">
        <v>3536</v>
      </c>
      <c r="B725" t="s">
        <v>31</v>
      </c>
      <c r="C725" t="s">
        <v>3534</v>
      </c>
      <c r="D725" t="s">
        <v>3537</v>
      </c>
      <c r="E725" t="s">
        <v>1987</v>
      </c>
      <c r="F725" t="s">
        <v>71</v>
      </c>
      <c r="G725" t="s">
        <v>1991</v>
      </c>
      <c r="H725">
        <v>3826</v>
      </c>
      <c r="I725">
        <v>1761</v>
      </c>
      <c r="J725">
        <v>3</v>
      </c>
      <c r="K725">
        <v>2</v>
      </c>
      <c r="L725">
        <v>2391374462</v>
      </c>
      <c r="M725">
        <v>595</v>
      </c>
      <c r="N725">
        <v>4019116.74</v>
      </c>
      <c r="O725">
        <v>307219434</v>
      </c>
      <c r="P725">
        <v>236736115</v>
      </c>
      <c r="Q725">
        <v>166840323</v>
      </c>
      <c r="R725" t="s">
        <v>1992</v>
      </c>
      <c r="S725" t="s">
        <v>1993</v>
      </c>
      <c r="T725" t="s">
        <v>1994</v>
      </c>
      <c r="U725" t="s">
        <v>3460</v>
      </c>
    </row>
    <row r="726" spans="1:21">
      <c r="A726" t="s">
        <v>1329</v>
      </c>
      <c r="B726" t="s">
        <v>31</v>
      </c>
      <c r="C726" t="s">
        <v>1330</v>
      </c>
      <c r="D726" t="s">
        <v>1331</v>
      </c>
      <c r="E726" t="s">
        <v>1987</v>
      </c>
      <c r="F726" t="s">
        <v>31</v>
      </c>
      <c r="G726" t="s">
        <v>31</v>
      </c>
      <c r="H726">
        <v>3582</v>
      </c>
      <c r="I726">
        <v>1462</v>
      </c>
      <c r="J726">
        <v>370</v>
      </c>
      <c r="K726">
        <v>178</v>
      </c>
      <c r="L726">
        <v>1211411082</v>
      </c>
      <c r="M726">
        <v>36121</v>
      </c>
      <c r="N726">
        <v>33537.58</v>
      </c>
      <c r="O726">
        <v>215175558</v>
      </c>
      <c r="P726">
        <v>127949314</v>
      </c>
      <c r="Q726">
        <v>71444589</v>
      </c>
      <c r="R726" t="s">
        <v>1992</v>
      </c>
      <c r="S726" t="s">
        <v>1993</v>
      </c>
      <c r="T726" t="s">
        <v>1994</v>
      </c>
      <c r="U726" t="s">
        <v>3460</v>
      </c>
    </row>
    <row r="727" spans="1:21">
      <c r="A727" t="s">
        <v>3531</v>
      </c>
      <c r="B727" t="s">
        <v>31</v>
      </c>
      <c r="C727" t="s">
        <v>1330</v>
      </c>
      <c r="D727" t="s">
        <v>3532</v>
      </c>
      <c r="E727" t="s">
        <v>1987</v>
      </c>
      <c r="F727" t="s">
        <v>71</v>
      </c>
      <c r="G727" t="s">
        <v>1991</v>
      </c>
      <c r="H727">
        <v>3823</v>
      </c>
      <c r="I727">
        <v>1761</v>
      </c>
      <c r="J727">
        <v>5</v>
      </c>
      <c r="K727">
        <v>3</v>
      </c>
      <c r="L727">
        <v>2493693889</v>
      </c>
      <c r="M727">
        <v>149</v>
      </c>
      <c r="N727">
        <v>16736200.6</v>
      </c>
      <c r="O727">
        <v>332008716</v>
      </c>
      <c r="P727">
        <v>246335587</v>
      </c>
      <c r="Q727">
        <v>198800924</v>
      </c>
      <c r="R727" t="s">
        <v>1992</v>
      </c>
      <c r="S727" t="s">
        <v>1993</v>
      </c>
      <c r="T727" t="s">
        <v>1994</v>
      </c>
      <c r="U727" t="s">
        <v>3460</v>
      </c>
    </row>
    <row r="728" spans="1:21">
      <c r="A728" t="s">
        <v>3529</v>
      </c>
      <c r="B728" t="s">
        <v>31</v>
      </c>
      <c r="C728" t="s">
        <v>1330</v>
      </c>
      <c r="D728" t="s">
        <v>3530</v>
      </c>
      <c r="E728" t="s">
        <v>1987</v>
      </c>
      <c r="F728" t="s">
        <v>71</v>
      </c>
      <c r="G728" t="s">
        <v>1991</v>
      </c>
      <c r="H728">
        <v>3811</v>
      </c>
      <c r="I728">
        <v>1777</v>
      </c>
      <c r="J728">
        <v>4</v>
      </c>
      <c r="K728">
        <v>0</v>
      </c>
      <c r="L728">
        <v>2112331795</v>
      </c>
      <c r="M728">
        <v>107</v>
      </c>
      <c r="N728">
        <v>19741418.640000001</v>
      </c>
      <c r="O728">
        <v>290130562</v>
      </c>
      <c r="P728">
        <v>221446964</v>
      </c>
      <c r="Q728">
        <v>160118252</v>
      </c>
      <c r="R728" t="s">
        <v>1992</v>
      </c>
      <c r="S728" t="s">
        <v>1993</v>
      </c>
      <c r="T728" t="s">
        <v>1994</v>
      </c>
      <c r="U728" t="s">
        <v>3460</v>
      </c>
    </row>
  </sheetData>
  <sortState xmlns:xlrd2="http://schemas.microsoft.com/office/spreadsheetml/2017/richdata2" ref="A2:U728">
    <sortCondition ref="A2:A7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3049-5D93-BC47-BCA8-D4A554C2DFAA}">
  <dimension ref="A1:U82"/>
  <sheetViews>
    <sheetView workbookViewId="0">
      <selection sqref="A1:U82"/>
    </sheetView>
  </sheetViews>
  <sheetFormatPr baseColWidth="10" defaultRowHeight="13"/>
  <sheetData>
    <row r="1" spans="1:21">
      <c r="A1" t="s">
        <v>3</v>
      </c>
      <c r="B1" t="s">
        <v>1969</v>
      </c>
      <c r="C1" t="s">
        <v>3552</v>
      </c>
      <c r="D1" t="s">
        <v>3553</v>
      </c>
      <c r="E1" t="s">
        <v>1971</v>
      </c>
      <c r="F1" t="s">
        <v>1972</v>
      </c>
      <c r="G1" t="s">
        <v>1973</v>
      </c>
      <c r="H1" t="s">
        <v>1974</v>
      </c>
      <c r="I1" t="s">
        <v>1975</v>
      </c>
      <c r="J1" t="s">
        <v>1976</v>
      </c>
      <c r="K1" t="s">
        <v>1977</v>
      </c>
      <c r="L1" t="s">
        <v>1978</v>
      </c>
      <c r="M1" t="s">
        <v>1979</v>
      </c>
      <c r="N1" t="s">
        <v>1980</v>
      </c>
      <c r="O1" t="s">
        <v>1981</v>
      </c>
      <c r="P1" t="s">
        <v>3554</v>
      </c>
      <c r="Q1" t="s">
        <v>3555</v>
      </c>
      <c r="R1" t="s">
        <v>3556</v>
      </c>
      <c r="S1" t="s">
        <v>3557</v>
      </c>
      <c r="T1" t="s">
        <v>3558</v>
      </c>
      <c r="U1" t="s">
        <v>3559</v>
      </c>
    </row>
    <row r="2" spans="1:21">
      <c r="A2" t="s">
        <v>3560</v>
      </c>
      <c r="B2" t="s">
        <v>3561</v>
      </c>
      <c r="C2" t="s">
        <v>3562</v>
      </c>
      <c r="D2" t="s">
        <v>3562</v>
      </c>
      <c r="E2" t="s">
        <v>1982</v>
      </c>
      <c r="F2" t="s">
        <v>204</v>
      </c>
      <c r="G2" t="s">
        <v>1991</v>
      </c>
      <c r="H2">
        <v>65</v>
      </c>
      <c r="I2">
        <v>1</v>
      </c>
      <c r="J2">
        <v>2340</v>
      </c>
      <c r="K2">
        <v>3186</v>
      </c>
      <c r="L2" t="s">
        <v>1992</v>
      </c>
      <c r="M2" t="s">
        <v>1993</v>
      </c>
      <c r="N2" t="s">
        <v>1994</v>
      </c>
      <c r="O2" t="s">
        <v>2636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s">
        <v>3563</v>
      </c>
    </row>
    <row r="3" spans="1:21">
      <c r="A3" t="s">
        <v>3564</v>
      </c>
      <c r="B3" t="s">
        <v>31</v>
      </c>
      <c r="C3" t="s">
        <v>3562</v>
      </c>
      <c r="D3" t="s">
        <v>3562</v>
      </c>
      <c r="E3" t="s">
        <v>1982</v>
      </c>
      <c r="F3" t="s">
        <v>1533</v>
      </c>
      <c r="G3" t="s">
        <v>1376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s">
        <v>3563</v>
      </c>
    </row>
    <row r="4" spans="1:21">
      <c r="A4" t="s">
        <v>3565</v>
      </c>
      <c r="B4" t="s">
        <v>3566</v>
      </c>
      <c r="C4" t="s">
        <v>3562</v>
      </c>
      <c r="D4" t="s">
        <v>3562</v>
      </c>
      <c r="E4" t="s">
        <v>1982</v>
      </c>
      <c r="F4" t="s">
        <v>204</v>
      </c>
      <c r="G4" t="s">
        <v>1991</v>
      </c>
      <c r="H4">
        <v>5207</v>
      </c>
      <c r="I4">
        <v>146</v>
      </c>
      <c r="J4">
        <v>239</v>
      </c>
      <c r="K4">
        <v>0</v>
      </c>
      <c r="L4" t="s">
        <v>1992</v>
      </c>
      <c r="M4" t="s">
        <v>1993</v>
      </c>
      <c r="N4" t="s">
        <v>1994</v>
      </c>
      <c r="O4" t="s">
        <v>2001</v>
      </c>
      <c r="P4" t="b">
        <v>0</v>
      </c>
      <c r="Q4" t="b">
        <v>1</v>
      </c>
      <c r="R4" t="b">
        <v>1</v>
      </c>
      <c r="S4" t="b">
        <v>1</v>
      </c>
      <c r="T4" t="b">
        <v>0</v>
      </c>
      <c r="U4" t="s">
        <v>3563</v>
      </c>
    </row>
    <row r="5" spans="1:21">
      <c r="A5" t="s">
        <v>3567</v>
      </c>
      <c r="B5" t="s">
        <v>3567</v>
      </c>
      <c r="C5" t="s">
        <v>3562</v>
      </c>
      <c r="D5" t="s">
        <v>3562</v>
      </c>
      <c r="E5" t="s">
        <v>1982</v>
      </c>
      <c r="F5" t="s">
        <v>204</v>
      </c>
      <c r="G5" t="s">
        <v>1991</v>
      </c>
      <c r="H5">
        <v>4858</v>
      </c>
      <c r="I5">
        <v>285</v>
      </c>
      <c r="J5">
        <v>443</v>
      </c>
      <c r="K5">
        <v>6</v>
      </c>
      <c r="L5" t="s">
        <v>1992</v>
      </c>
      <c r="M5" t="s">
        <v>1993</v>
      </c>
      <c r="N5" t="s">
        <v>1994</v>
      </c>
      <c r="O5" t="s">
        <v>2289</v>
      </c>
      <c r="P5" t="b">
        <v>0</v>
      </c>
      <c r="Q5" t="b">
        <v>1</v>
      </c>
      <c r="R5" t="b">
        <v>1</v>
      </c>
      <c r="S5" t="b">
        <v>1</v>
      </c>
      <c r="T5" t="b">
        <v>0</v>
      </c>
      <c r="U5" t="s">
        <v>3563</v>
      </c>
    </row>
    <row r="6" spans="1:21">
      <c r="A6" t="s">
        <v>3568</v>
      </c>
      <c r="B6" t="s">
        <v>3569</v>
      </c>
      <c r="C6" t="s">
        <v>3562</v>
      </c>
      <c r="D6" t="s">
        <v>3562</v>
      </c>
      <c r="E6" t="s">
        <v>31</v>
      </c>
      <c r="F6" t="s">
        <v>204</v>
      </c>
      <c r="G6" t="s">
        <v>1991</v>
      </c>
      <c r="H6">
        <v>4720</v>
      </c>
      <c r="I6">
        <v>358</v>
      </c>
      <c r="J6">
        <v>505</v>
      </c>
      <c r="K6">
        <v>9</v>
      </c>
      <c r="L6" t="s">
        <v>1992</v>
      </c>
      <c r="M6" t="s">
        <v>1993</v>
      </c>
      <c r="N6" t="s">
        <v>1994</v>
      </c>
      <c r="O6" t="s">
        <v>1998</v>
      </c>
      <c r="P6" t="b">
        <v>0</v>
      </c>
      <c r="Q6" t="b">
        <v>1</v>
      </c>
      <c r="R6" t="b">
        <v>1</v>
      </c>
      <c r="S6" t="b">
        <v>1</v>
      </c>
      <c r="T6" t="b">
        <v>0</v>
      </c>
      <c r="U6" t="s">
        <v>3563</v>
      </c>
    </row>
    <row r="7" spans="1:21">
      <c r="A7" t="s">
        <v>3570</v>
      </c>
      <c r="B7" t="s">
        <v>3570</v>
      </c>
      <c r="C7" t="s">
        <v>3562</v>
      </c>
      <c r="D7" t="s">
        <v>3562</v>
      </c>
      <c r="E7" t="s">
        <v>1982</v>
      </c>
      <c r="F7" t="s">
        <v>204</v>
      </c>
      <c r="G7" t="s">
        <v>1991</v>
      </c>
      <c r="H7">
        <v>1210</v>
      </c>
      <c r="I7">
        <v>3681</v>
      </c>
      <c r="J7">
        <v>699</v>
      </c>
      <c r="K7">
        <v>2</v>
      </c>
      <c r="L7" t="s">
        <v>1992</v>
      </c>
      <c r="M7" t="s">
        <v>1993</v>
      </c>
      <c r="N7" t="s">
        <v>1994</v>
      </c>
      <c r="O7" t="s">
        <v>2001</v>
      </c>
      <c r="P7" t="b">
        <v>0</v>
      </c>
      <c r="Q7" t="b">
        <v>1</v>
      </c>
      <c r="R7" t="b">
        <v>1</v>
      </c>
      <c r="S7" t="b">
        <v>1</v>
      </c>
      <c r="T7" t="b">
        <v>0</v>
      </c>
      <c r="U7" t="s">
        <v>3563</v>
      </c>
    </row>
    <row r="8" spans="1:21">
      <c r="A8" t="s">
        <v>3571</v>
      </c>
      <c r="B8" t="s">
        <v>3571</v>
      </c>
      <c r="C8" t="s">
        <v>3562</v>
      </c>
      <c r="D8" t="s">
        <v>3562</v>
      </c>
      <c r="E8" t="s">
        <v>31</v>
      </c>
      <c r="F8" t="s">
        <v>204</v>
      </c>
      <c r="G8" t="s">
        <v>1991</v>
      </c>
      <c r="H8">
        <v>3971</v>
      </c>
      <c r="I8">
        <v>679</v>
      </c>
      <c r="J8">
        <v>942</v>
      </c>
      <c r="K8">
        <v>0</v>
      </c>
      <c r="L8" t="s">
        <v>1992</v>
      </c>
      <c r="M8" t="s">
        <v>1993</v>
      </c>
      <c r="N8" t="s">
        <v>1994</v>
      </c>
      <c r="O8" t="s">
        <v>1998</v>
      </c>
      <c r="P8" t="b">
        <v>0</v>
      </c>
      <c r="Q8" t="b">
        <v>1</v>
      </c>
      <c r="R8" t="b">
        <v>1</v>
      </c>
      <c r="S8" t="b">
        <v>1</v>
      </c>
      <c r="T8" t="b">
        <v>0</v>
      </c>
      <c r="U8" t="s">
        <v>3563</v>
      </c>
    </row>
    <row r="9" spans="1:21">
      <c r="A9" t="s">
        <v>3572</v>
      </c>
      <c r="B9" t="s">
        <v>3573</v>
      </c>
      <c r="C9" t="s">
        <v>3562</v>
      </c>
      <c r="D9" t="s">
        <v>3562</v>
      </c>
      <c r="E9" t="s">
        <v>1982</v>
      </c>
      <c r="F9" t="s">
        <v>204</v>
      </c>
      <c r="G9" t="s">
        <v>1991</v>
      </c>
      <c r="H9">
        <v>4132</v>
      </c>
      <c r="I9">
        <v>491</v>
      </c>
      <c r="J9">
        <v>915</v>
      </c>
      <c r="K9">
        <v>54</v>
      </c>
      <c r="L9" t="s">
        <v>1992</v>
      </c>
      <c r="M9" t="s">
        <v>1993</v>
      </c>
      <c r="N9" t="s">
        <v>1994</v>
      </c>
      <c r="O9" t="s">
        <v>1998</v>
      </c>
      <c r="P9" t="b">
        <v>0</v>
      </c>
      <c r="Q9" t="b">
        <v>1</v>
      </c>
      <c r="R9" t="b">
        <v>1</v>
      </c>
      <c r="S9" t="b">
        <v>1</v>
      </c>
      <c r="T9" t="b">
        <v>0</v>
      </c>
      <c r="U9" t="s">
        <v>3563</v>
      </c>
    </row>
    <row r="10" spans="1:21">
      <c r="A10" t="s">
        <v>3574</v>
      </c>
      <c r="B10" t="s">
        <v>3575</v>
      </c>
      <c r="C10" t="s">
        <v>3562</v>
      </c>
      <c r="D10" t="s">
        <v>3562</v>
      </c>
      <c r="E10" t="s">
        <v>1982</v>
      </c>
      <c r="F10" t="s">
        <v>204</v>
      </c>
      <c r="G10" t="s">
        <v>1991</v>
      </c>
      <c r="H10">
        <v>1581</v>
      </c>
      <c r="I10">
        <v>2683</v>
      </c>
      <c r="J10">
        <v>1325</v>
      </c>
      <c r="K10">
        <v>3</v>
      </c>
      <c r="L10" t="s">
        <v>1992</v>
      </c>
      <c r="M10" t="s">
        <v>1993</v>
      </c>
      <c r="N10" t="s">
        <v>1994</v>
      </c>
      <c r="O10" t="s">
        <v>1998</v>
      </c>
      <c r="P10" t="b">
        <v>0</v>
      </c>
      <c r="Q10" t="b">
        <v>1</v>
      </c>
      <c r="R10" t="b">
        <v>1</v>
      </c>
      <c r="S10" t="b">
        <v>1</v>
      </c>
      <c r="T10" t="b">
        <v>0</v>
      </c>
      <c r="U10" t="s">
        <v>3563</v>
      </c>
    </row>
    <row r="11" spans="1:21">
      <c r="A11" t="s">
        <v>3576</v>
      </c>
      <c r="B11" t="s">
        <v>3576</v>
      </c>
      <c r="C11" t="s">
        <v>3562</v>
      </c>
      <c r="D11" t="s">
        <v>3562</v>
      </c>
      <c r="E11" t="s">
        <v>1982</v>
      </c>
      <c r="F11" t="s">
        <v>204</v>
      </c>
      <c r="G11" t="s">
        <v>1991</v>
      </c>
      <c r="H11">
        <v>1707</v>
      </c>
      <c r="I11">
        <v>2069</v>
      </c>
      <c r="J11">
        <v>1800</v>
      </c>
      <c r="K11">
        <v>16</v>
      </c>
      <c r="L11" t="s">
        <v>1992</v>
      </c>
      <c r="M11" t="s">
        <v>1993</v>
      </c>
      <c r="N11" t="s">
        <v>1994</v>
      </c>
      <c r="O11" t="s">
        <v>1998</v>
      </c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s">
        <v>3563</v>
      </c>
    </row>
    <row r="12" spans="1:21">
      <c r="A12" t="s">
        <v>3577</v>
      </c>
      <c r="B12" t="s">
        <v>3578</v>
      </c>
      <c r="C12" t="s">
        <v>3562</v>
      </c>
      <c r="D12" t="s">
        <v>3562</v>
      </c>
      <c r="E12" t="s">
        <v>1982</v>
      </c>
      <c r="F12" t="s">
        <v>204</v>
      </c>
      <c r="G12" t="s">
        <v>1991</v>
      </c>
      <c r="H12">
        <v>5290</v>
      </c>
      <c r="I12">
        <v>130</v>
      </c>
      <c r="J12">
        <v>164</v>
      </c>
      <c r="K12">
        <v>8</v>
      </c>
      <c r="L12" t="s">
        <v>1992</v>
      </c>
      <c r="M12" t="s">
        <v>1993</v>
      </c>
      <c r="N12" t="s">
        <v>1994</v>
      </c>
      <c r="O12" t="s">
        <v>1998</v>
      </c>
      <c r="P12" t="b">
        <v>0</v>
      </c>
      <c r="Q12" t="b">
        <v>1</v>
      </c>
      <c r="R12" t="b">
        <v>1</v>
      </c>
      <c r="S12" t="b">
        <v>1</v>
      </c>
      <c r="T12" t="b">
        <v>1</v>
      </c>
      <c r="U12" t="s">
        <v>3563</v>
      </c>
    </row>
    <row r="13" spans="1:21">
      <c r="A13" t="s">
        <v>3579</v>
      </c>
      <c r="B13" t="s">
        <v>3580</v>
      </c>
      <c r="C13" t="s">
        <v>3562</v>
      </c>
      <c r="D13" t="s">
        <v>3581</v>
      </c>
      <c r="E13" t="s">
        <v>1987</v>
      </c>
      <c r="F13" t="s">
        <v>204</v>
      </c>
      <c r="G13" t="s">
        <v>1991</v>
      </c>
      <c r="H13">
        <v>702</v>
      </c>
      <c r="I13">
        <v>3745</v>
      </c>
      <c r="J13">
        <v>1137</v>
      </c>
      <c r="K13">
        <v>8</v>
      </c>
      <c r="L13" t="s">
        <v>1992</v>
      </c>
      <c r="M13" t="s">
        <v>1993</v>
      </c>
      <c r="N13" t="s">
        <v>2017</v>
      </c>
      <c r="O13" t="s">
        <v>2018</v>
      </c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s">
        <v>3563</v>
      </c>
    </row>
    <row r="14" spans="1:21">
      <c r="A14" t="s">
        <v>3582</v>
      </c>
      <c r="B14" t="s">
        <v>3582</v>
      </c>
      <c r="C14" t="s">
        <v>3562</v>
      </c>
      <c r="D14" t="s">
        <v>3583</v>
      </c>
      <c r="E14" t="s">
        <v>1982</v>
      </c>
      <c r="F14" t="s">
        <v>204</v>
      </c>
      <c r="G14" t="s">
        <v>1991</v>
      </c>
      <c r="H14">
        <v>2853</v>
      </c>
      <c r="I14">
        <v>1318</v>
      </c>
      <c r="J14">
        <v>1419</v>
      </c>
      <c r="K14">
        <v>2</v>
      </c>
      <c r="L14" t="s">
        <v>1992</v>
      </c>
      <c r="M14" t="s">
        <v>1993</v>
      </c>
      <c r="N14" t="s">
        <v>1994</v>
      </c>
      <c r="O14" t="s">
        <v>1998</v>
      </c>
      <c r="P14" t="b">
        <v>0</v>
      </c>
      <c r="Q14" t="b">
        <v>1</v>
      </c>
      <c r="R14" t="b">
        <v>1</v>
      </c>
      <c r="S14" t="b">
        <v>1</v>
      </c>
      <c r="T14" t="b">
        <v>1</v>
      </c>
      <c r="U14" t="s">
        <v>3563</v>
      </c>
    </row>
    <row r="15" spans="1:21">
      <c r="A15" t="s">
        <v>3584</v>
      </c>
      <c r="B15" t="s">
        <v>31</v>
      </c>
      <c r="C15" t="s">
        <v>3585</v>
      </c>
      <c r="D15" t="s">
        <v>31</v>
      </c>
      <c r="E15" t="s">
        <v>1982</v>
      </c>
      <c r="F15" t="s">
        <v>3586</v>
      </c>
      <c r="G15" t="s">
        <v>18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31</v>
      </c>
      <c r="O15" t="s">
        <v>31</v>
      </c>
      <c r="P15" t="b">
        <v>1</v>
      </c>
      <c r="Q15" t="b">
        <v>0</v>
      </c>
      <c r="R15" t="b">
        <v>0</v>
      </c>
      <c r="S15" t="b">
        <v>1</v>
      </c>
      <c r="T15" t="b">
        <v>1</v>
      </c>
      <c r="U15" t="s">
        <v>3587</v>
      </c>
    </row>
    <row r="16" spans="1:21">
      <c r="A16" t="s">
        <v>3588</v>
      </c>
      <c r="B16" t="s">
        <v>31</v>
      </c>
      <c r="C16" t="s">
        <v>3589</v>
      </c>
      <c r="D16" t="s">
        <v>31</v>
      </c>
      <c r="E16" t="s">
        <v>1987</v>
      </c>
      <c r="F16" t="s">
        <v>204</v>
      </c>
      <c r="G16" t="s">
        <v>1376</v>
      </c>
      <c r="H16">
        <v>1753</v>
      </c>
      <c r="I16">
        <v>486</v>
      </c>
      <c r="J16">
        <v>2897</v>
      </c>
      <c r="K16">
        <v>456</v>
      </c>
      <c r="L16" t="s">
        <v>1983</v>
      </c>
      <c r="M16" t="s">
        <v>1984</v>
      </c>
      <c r="N16" t="s">
        <v>2002</v>
      </c>
      <c r="O16" t="s">
        <v>2003</v>
      </c>
      <c r="P16" t="b">
        <v>1</v>
      </c>
      <c r="Q16" t="b">
        <v>0</v>
      </c>
      <c r="R16" t="b">
        <v>0</v>
      </c>
      <c r="S16" t="b">
        <v>1</v>
      </c>
      <c r="T16" t="b">
        <v>1</v>
      </c>
      <c r="U16" t="s">
        <v>3590</v>
      </c>
    </row>
    <row r="17" spans="1:21">
      <c r="A17" t="s">
        <v>3591</v>
      </c>
      <c r="B17" t="s">
        <v>31</v>
      </c>
      <c r="C17" t="s">
        <v>252</v>
      </c>
      <c r="D17" t="s">
        <v>31</v>
      </c>
      <c r="E17" t="s">
        <v>1987</v>
      </c>
      <c r="F17" t="s">
        <v>254</v>
      </c>
      <c r="G17" t="s">
        <v>18</v>
      </c>
      <c r="H17">
        <v>14</v>
      </c>
      <c r="I17">
        <v>2</v>
      </c>
      <c r="J17">
        <v>7</v>
      </c>
      <c r="K17">
        <v>5569</v>
      </c>
      <c r="L17" t="s">
        <v>1983</v>
      </c>
      <c r="M17" t="s">
        <v>1984</v>
      </c>
      <c r="N17" t="s">
        <v>2006</v>
      </c>
      <c r="O17" t="s">
        <v>2007</v>
      </c>
      <c r="P17" t="b">
        <v>1</v>
      </c>
      <c r="Q17" t="b">
        <v>0</v>
      </c>
      <c r="R17" t="b">
        <v>0</v>
      </c>
      <c r="S17" t="b">
        <v>1</v>
      </c>
      <c r="T17" t="b">
        <v>1</v>
      </c>
      <c r="U17" t="s">
        <v>3592</v>
      </c>
    </row>
    <row r="18" spans="1:21">
      <c r="A18" t="s">
        <v>3593</v>
      </c>
      <c r="B18" t="s">
        <v>31</v>
      </c>
      <c r="C18" t="s">
        <v>3594</v>
      </c>
      <c r="D18" t="s">
        <v>31</v>
      </c>
      <c r="E18" t="s">
        <v>1987</v>
      </c>
      <c r="F18" t="s">
        <v>204</v>
      </c>
      <c r="G18" t="s">
        <v>1376</v>
      </c>
      <c r="H18">
        <v>1321</v>
      </c>
      <c r="I18">
        <v>82</v>
      </c>
      <c r="J18">
        <v>1522</v>
      </c>
      <c r="K18">
        <v>2667</v>
      </c>
      <c r="L18" t="s">
        <v>1983</v>
      </c>
      <c r="M18" t="s">
        <v>1984</v>
      </c>
      <c r="N18" t="s">
        <v>1985</v>
      </c>
      <c r="O18" t="s">
        <v>1988</v>
      </c>
      <c r="P18" t="b">
        <v>1</v>
      </c>
      <c r="Q18" t="b">
        <v>0</v>
      </c>
      <c r="R18" t="b">
        <v>0</v>
      </c>
      <c r="S18" t="b">
        <v>1</v>
      </c>
      <c r="T18" t="b">
        <v>1</v>
      </c>
      <c r="U18" t="s">
        <v>3595</v>
      </c>
    </row>
    <row r="19" spans="1:21">
      <c r="A19" t="s">
        <v>3596</v>
      </c>
      <c r="B19" t="s">
        <v>31</v>
      </c>
      <c r="C19" t="s">
        <v>170</v>
      </c>
      <c r="D19" t="s">
        <v>481</v>
      </c>
      <c r="E19" t="s">
        <v>1987</v>
      </c>
      <c r="F19" t="s">
        <v>71</v>
      </c>
      <c r="G19" t="s">
        <v>18</v>
      </c>
      <c r="H19" t="s">
        <v>31</v>
      </c>
      <c r="I19" t="s">
        <v>31</v>
      </c>
      <c r="J19" t="s">
        <v>31</v>
      </c>
      <c r="K19" t="s">
        <v>31</v>
      </c>
      <c r="L19" t="s">
        <v>1983</v>
      </c>
      <c r="M19" t="s">
        <v>1984</v>
      </c>
      <c r="N19" t="s">
        <v>2002</v>
      </c>
      <c r="O19" t="s">
        <v>2003</v>
      </c>
      <c r="P19" t="b">
        <v>1</v>
      </c>
      <c r="Q19" t="b">
        <v>0</v>
      </c>
      <c r="R19" t="b">
        <v>0</v>
      </c>
      <c r="S19" t="b">
        <v>1</v>
      </c>
      <c r="T19" t="b">
        <v>1</v>
      </c>
      <c r="U19" t="s">
        <v>3597</v>
      </c>
    </row>
    <row r="20" spans="1:21">
      <c r="A20" t="s">
        <v>3598</v>
      </c>
      <c r="B20" t="s">
        <v>31</v>
      </c>
      <c r="C20" t="s">
        <v>3599</v>
      </c>
      <c r="D20" t="s">
        <v>3598</v>
      </c>
      <c r="E20" t="s">
        <v>1982</v>
      </c>
      <c r="F20" t="s">
        <v>87</v>
      </c>
      <c r="G20" t="s">
        <v>18</v>
      </c>
      <c r="H20">
        <v>308</v>
      </c>
      <c r="I20">
        <v>21</v>
      </c>
      <c r="J20">
        <v>290</v>
      </c>
      <c r="K20">
        <v>4973</v>
      </c>
      <c r="L20" t="s">
        <v>1983</v>
      </c>
      <c r="M20" t="s">
        <v>1984</v>
      </c>
      <c r="N20" t="s">
        <v>1985</v>
      </c>
      <c r="O20" t="s">
        <v>1988</v>
      </c>
      <c r="P20" t="b">
        <v>1</v>
      </c>
      <c r="Q20" t="b">
        <v>0</v>
      </c>
      <c r="R20" t="b">
        <v>0</v>
      </c>
      <c r="S20" t="b">
        <v>1</v>
      </c>
      <c r="T20" t="b">
        <v>1</v>
      </c>
      <c r="U20" t="s">
        <v>3587</v>
      </c>
    </row>
    <row r="21" spans="1:21">
      <c r="A21" t="s">
        <v>3600</v>
      </c>
      <c r="B21" t="s">
        <v>31</v>
      </c>
      <c r="C21" t="s">
        <v>3455</v>
      </c>
      <c r="D21" t="s">
        <v>3601</v>
      </c>
      <c r="E21" t="s">
        <v>1982</v>
      </c>
      <c r="F21" t="s">
        <v>3602</v>
      </c>
      <c r="G21" t="s">
        <v>18</v>
      </c>
      <c r="H21">
        <v>99</v>
      </c>
      <c r="I21">
        <v>153</v>
      </c>
      <c r="J21">
        <v>374</v>
      </c>
      <c r="K21">
        <v>4966</v>
      </c>
      <c r="L21" t="s">
        <v>1992</v>
      </c>
      <c r="M21" t="s">
        <v>1993</v>
      </c>
      <c r="N21" t="s">
        <v>1994</v>
      </c>
      <c r="O21" t="s">
        <v>31</v>
      </c>
      <c r="P21" t="b">
        <v>1</v>
      </c>
      <c r="Q21" t="b">
        <v>0</v>
      </c>
      <c r="R21" t="b">
        <v>0</v>
      </c>
      <c r="S21" t="b">
        <v>1</v>
      </c>
      <c r="T21" t="b">
        <v>1</v>
      </c>
      <c r="U21" t="s">
        <v>3587</v>
      </c>
    </row>
    <row r="22" spans="1:21" ht="16">
      <c r="A22" t="s">
        <v>3603</v>
      </c>
      <c r="B22" t="s">
        <v>31</v>
      </c>
      <c r="C22" t="s">
        <v>1256</v>
      </c>
      <c r="D22" t="s">
        <v>3604</v>
      </c>
      <c r="E22" t="s">
        <v>1987</v>
      </c>
      <c r="F22" t="s">
        <v>3605</v>
      </c>
      <c r="G22" t="s">
        <v>18</v>
      </c>
      <c r="H22" t="s">
        <v>31</v>
      </c>
      <c r="I22" t="s">
        <v>31</v>
      </c>
      <c r="J22" t="s">
        <v>31</v>
      </c>
      <c r="K22" t="s">
        <v>31</v>
      </c>
      <c r="L22" t="s">
        <v>1983</v>
      </c>
      <c r="M22" t="s">
        <v>1984</v>
      </c>
      <c r="N22" t="s">
        <v>1985</v>
      </c>
      <c r="O22" t="s">
        <v>1988</v>
      </c>
      <c r="P22" t="b">
        <v>1</v>
      </c>
      <c r="Q22" t="b">
        <v>0</v>
      </c>
      <c r="R22" t="b">
        <v>0</v>
      </c>
      <c r="S22" t="b">
        <v>1</v>
      </c>
      <c r="T22" t="b">
        <v>1</v>
      </c>
      <c r="U22" s="41" t="s">
        <v>3606</v>
      </c>
    </row>
    <row r="23" spans="1:21" ht="16">
      <c r="A23" t="s">
        <v>3607</v>
      </c>
      <c r="B23" t="s">
        <v>31</v>
      </c>
      <c r="C23" t="s">
        <v>1256</v>
      </c>
      <c r="D23" t="s">
        <v>3608</v>
      </c>
      <c r="E23" t="s">
        <v>1987</v>
      </c>
      <c r="F23" t="s">
        <v>3605</v>
      </c>
      <c r="G23" t="s">
        <v>18</v>
      </c>
      <c r="H23" t="s">
        <v>31</v>
      </c>
      <c r="I23" t="s">
        <v>31</v>
      </c>
      <c r="J23" t="s">
        <v>31</v>
      </c>
      <c r="K23" t="s">
        <v>31</v>
      </c>
      <c r="L23" t="s">
        <v>1983</v>
      </c>
      <c r="M23" t="s">
        <v>1984</v>
      </c>
      <c r="N23" t="s">
        <v>1985</v>
      </c>
      <c r="O23" t="s">
        <v>1988</v>
      </c>
      <c r="P23" t="b">
        <v>1</v>
      </c>
      <c r="Q23" t="b">
        <v>0</v>
      </c>
      <c r="R23" t="b">
        <v>0</v>
      </c>
      <c r="S23" t="b">
        <v>1</v>
      </c>
      <c r="T23" t="b">
        <v>1</v>
      </c>
      <c r="U23" s="41" t="s">
        <v>3606</v>
      </c>
    </row>
    <row r="24" spans="1:21" ht="16">
      <c r="A24" t="s">
        <v>3609</v>
      </c>
      <c r="B24" t="s">
        <v>31</v>
      </c>
      <c r="C24" t="s">
        <v>1256</v>
      </c>
      <c r="D24" t="s">
        <v>3610</v>
      </c>
      <c r="E24" t="s">
        <v>1987</v>
      </c>
      <c r="F24" t="s">
        <v>3605</v>
      </c>
      <c r="G24" t="s">
        <v>18</v>
      </c>
      <c r="H24" t="s">
        <v>31</v>
      </c>
      <c r="I24" t="s">
        <v>31</v>
      </c>
      <c r="J24" t="s">
        <v>31</v>
      </c>
      <c r="K24" t="s">
        <v>31</v>
      </c>
      <c r="L24" t="s">
        <v>1983</v>
      </c>
      <c r="M24" t="s">
        <v>1984</v>
      </c>
      <c r="N24" t="s">
        <v>1985</v>
      </c>
      <c r="O24" t="s">
        <v>1988</v>
      </c>
      <c r="P24" t="b">
        <v>1</v>
      </c>
      <c r="Q24" t="b">
        <v>0</v>
      </c>
      <c r="R24" t="b">
        <v>0</v>
      </c>
      <c r="S24" t="b">
        <v>1</v>
      </c>
      <c r="T24" t="b">
        <v>1</v>
      </c>
      <c r="U24" s="41" t="s">
        <v>3606</v>
      </c>
    </row>
    <row r="25" spans="1:21">
      <c r="A25" t="s">
        <v>3611</v>
      </c>
      <c r="B25" t="s">
        <v>3611</v>
      </c>
      <c r="C25" t="s">
        <v>2203</v>
      </c>
      <c r="D25" t="s">
        <v>2204</v>
      </c>
      <c r="E25" t="s">
        <v>1982</v>
      </c>
      <c r="F25" t="s">
        <v>204</v>
      </c>
      <c r="G25" t="s">
        <v>1991</v>
      </c>
      <c r="H25">
        <v>1190</v>
      </c>
      <c r="I25">
        <v>8</v>
      </c>
      <c r="J25">
        <v>4141</v>
      </c>
      <c r="K25">
        <v>253</v>
      </c>
      <c r="L25" t="s">
        <v>1992</v>
      </c>
      <c r="M25" t="s">
        <v>1993</v>
      </c>
      <c r="N25" t="s">
        <v>1994</v>
      </c>
      <c r="O25" t="s">
        <v>1998</v>
      </c>
      <c r="P25" t="b">
        <v>1</v>
      </c>
      <c r="Q25" t="b">
        <v>0</v>
      </c>
      <c r="R25" t="b">
        <v>1</v>
      </c>
      <c r="S25" t="b">
        <v>1</v>
      </c>
      <c r="T25" t="b">
        <v>0</v>
      </c>
      <c r="U25" t="s">
        <v>3587</v>
      </c>
    </row>
    <row r="26" spans="1:21">
      <c r="A26" t="s">
        <v>3612</v>
      </c>
      <c r="B26" t="s">
        <v>3613</v>
      </c>
      <c r="C26" t="s">
        <v>2629</v>
      </c>
      <c r="D26" t="s">
        <v>2630</v>
      </c>
      <c r="E26" t="s">
        <v>1987</v>
      </c>
      <c r="F26" t="s">
        <v>204</v>
      </c>
      <c r="G26" t="s">
        <v>1991</v>
      </c>
      <c r="H26">
        <v>123</v>
      </c>
      <c r="I26">
        <v>2</v>
      </c>
      <c r="J26">
        <v>4040</v>
      </c>
      <c r="K26">
        <v>1427</v>
      </c>
      <c r="L26" t="s">
        <v>1992</v>
      </c>
      <c r="M26" t="s">
        <v>1993</v>
      </c>
      <c r="N26" t="s">
        <v>1994</v>
      </c>
      <c r="O26" t="s">
        <v>1998</v>
      </c>
      <c r="P26" t="b">
        <v>1</v>
      </c>
      <c r="Q26" t="b">
        <v>0</v>
      </c>
      <c r="R26" t="b">
        <v>1</v>
      </c>
      <c r="S26" t="b">
        <v>1</v>
      </c>
      <c r="T26" t="b">
        <v>0</v>
      </c>
      <c r="U26" t="s">
        <v>3587</v>
      </c>
    </row>
    <row r="27" spans="1:21">
      <c r="A27" t="s">
        <v>3614</v>
      </c>
      <c r="B27" t="s">
        <v>31</v>
      </c>
      <c r="C27" t="s">
        <v>1612</v>
      </c>
      <c r="D27" t="s">
        <v>31</v>
      </c>
      <c r="E27" t="s">
        <v>31</v>
      </c>
      <c r="F27" t="s">
        <v>204</v>
      </c>
      <c r="G27" t="s">
        <v>1991</v>
      </c>
      <c r="H27">
        <v>2312</v>
      </c>
      <c r="I27">
        <v>35</v>
      </c>
      <c r="J27">
        <v>3228</v>
      </c>
      <c r="K27">
        <v>17</v>
      </c>
      <c r="L27" t="s">
        <v>1992</v>
      </c>
      <c r="M27" t="s">
        <v>1993</v>
      </c>
      <c r="N27" t="s">
        <v>1994</v>
      </c>
      <c r="O27" t="s">
        <v>31</v>
      </c>
      <c r="P27" t="b">
        <v>1</v>
      </c>
      <c r="Q27" t="b">
        <v>0</v>
      </c>
      <c r="R27" t="b">
        <v>1</v>
      </c>
      <c r="S27" t="b">
        <v>1</v>
      </c>
      <c r="T27" t="b">
        <v>1</v>
      </c>
      <c r="U27" t="s">
        <v>3587</v>
      </c>
    </row>
    <row r="28" spans="1:21">
      <c r="A28" t="s">
        <v>1649</v>
      </c>
      <c r="B28" t="s">
        <v>31</v>
      </c>
      <c r="C28" t="s">
        <v>1651</v>
      </c>
      <c r="D28" t="s">
        <v>31</v>
      </c>
      <c r="E28" t="s">
        <v>1982</v>
      </c>
      <c r="F28" t="s">
        <v>204</v>
      </c>
      <c r="G28" t="s">
        <v>1376</v>
      </c>
      <c r="H28">
        <v>1670</v>
      </c>
      <c r="I28">
        <v>227</v>
      </c>
      <c r="J28">
        <v>3206</v>
      </c>
      <c r="K28">
        <v>489</v>
      </c>
      <c r="L28" t="s">
        <v>1983</v>
      </c>
      <c r="M28" t="s">
        <v>1984</v>
      </c>
      <c r="N28" t="s">
        <v>2002</v>
      </c>
      <c r="O28" t="s">
        <v>3615</v>
      </c>
      <c r="P28" t="b">
        <v>1</v>
      </c>
      <c r="Q28" t="b">
        <v>0</v>
      </c>
      <c r="R28" t="b">
        <v>1</v>
      </c>
      <c r="S28" t="b">
        <v>1</v>
      </c>
      <c r="T28" t="b">
        <v>1</v>
      </c>
      <c r="U28" t="s">
        <v>3587</v>
      </c>
    </row>
    <row r="29" spans="1:21">
      <c r="A29" t="s">
        <v>1507</v>
      </c>
      <c r="B29" t="s">
        <v>31</v>
      </c>
      <c r="C29" t="s">
        <v>1509</v>
      </c>
      <c r="D29" t="s">
        <v>31</v>
      </c>
      <c r="E29" t="s">
        <v>1982</v>
      </c>
      <c r="F29" t="s">
        <v>204</v>
      </c>
      <c r="G29" t="s">
        <v>1376</v>
      </c>
      <c r="H29">
        <v>1953</v>
      </c>
      <c r="I29">
        <v>199</v>
      </c>
      <c r="J29">
        <v>3429</v>
      </c>
      <c r="K29">
        <v>11</v>
      </c>
      <c r="L29" t="s">
        <v>1992</v>
      </c>
      <c r="M29" t="s">
        <v>1993</v>
      </c>
      <c r="N29" t="s">
        <v>2017</v>
      </c>
      <c r="O29" t="s">
        <v>2062</v>
      </c>
      <c r="P29" t="b">
        <v>1</v>
      </c>
      <c r="Q29" t="b">
        <v>0</v>
      </c>
      <c r="R29" t="b">
        <v>1</v>
      </c>
      <c r="S29" t="b">
        <v>1</v>
      </c>
      <c r="T29" t="b">
        <v>1</v>
      </c>
      <c r="U29" t="s">
        <v>3587</v>
      </c>
    </row>
    <row r="30" spans="1:21">
      <c r="A30" t="s">
        <v>1524</v>
      </c>
      <c r="B30" t="s">
        <v>31</v>
      </c>
      <c r="C30" t="s">
        <v>1526</v>
      </c>
      <c r="D30" t="s">
        <v>31</v>
      </c>
      <c r="E30" t="s">
        <v>1987</v>
      </c>
      <c r="F30" t="s">
        <v>204</v>
      </c>
      <c r="G30" t="s">
        <v>1376</v>
      </c>
      <c r="H30">
        <v>1734</v>
      </c>
      <c r="I30">
        <v>611</v>
      </c>
      <c r="J30">
        <v>3008</v>
      </c>
      <c r="K30">
        <v>239</v>
      </c>
      <c r="L30" t="s">
        <v>1983</v>
      </c>
      <c r="M30" t="s">
        <v>1984</v>
      </c>
      <c r="N30" t="s">
        <v>2002</v>
      </c>
      <c r="O30" t="s">
        <v>2003</v>
      </c>
      <c r="P30" t="b">
        <v>1</v>
      </c>
      <c r="Q30" t="b">
        <v>0</v>
      </c>
      <c r="R30" t="b">
        <v>1</v>
      </c>
      <c r="S30" t="b">
        <v>1</v>
      </c>
      <c r="T30" t="b">
        <v>1</v>
      </c>
      <c r="U30" t="s">
        <v>3587</v>
      </c>
    </row>
    <row r="31" spans="1:21">
      <c r="A31" t="s">
        <v>1659</v>
      </c>
      <c r="B31" t="s">
        <v>31</v>
      </c>
      <c r="C31" t="s">
        <v>1661</v>
      </c>
      <c r="D31" t="s">
        <v>31</v>
      </c>
      <c r="E31" t="s">
        <v>1982</v>
      </c>
      <c r="F31" t="s">
        <v>204</v>
      </c>
      <c r="G31" t="s">
        <v>1376</v>
      </c>
      <c r="H31">
        <v>1907</v>
      </c>
      <c r="I31">
        <v>517</v>
      </c>
      <c r="J31">
        <v>2965</v>
      </c>
      <c r="K31">
        <v>203</v>
      </c>
      <c r="L31" t="s">
        <v>1983</v>
      </c>
      <c r="M31" t="s">
        <v>1984</v>
      </c>
      <c r="N31" t="s">
        <v>1985</v>
      </c>
      <c r="O31" t="s">
        <v>1986</v>
      </c>
      <c r="P31" t="b">
        <v>1</v>
      </c>
      <c r="Q31" t="b">
        <v>0</v>
      </c>
      <c r="R31" t="b">
        <v>1</v>
      </c>
      <c r="S31" t="b">
        <v>1</v>
      </c>
      <c r="T31" t="b">
        <v>1</v>
      </c>
      <c r="U31" t="s">
        <v>3587</v>
      </c>
    </row>
    <row r="32" spans="1:21">
      <c r="A32" t="s">
        <v>3616</v>
      </c>
      <c r="B32" t="s">
        <v>3616</v>
      </c>
      <c r="C32" t="s">
        <v>3617</v>
      </c>
      <c r="D32" t="s">
        <v>3618</v>
      </c>
      <c r="E32" t="s">
        <v>1987</v>
      </c>
      <c r="F32" t="s">
        <v>204</v>
      </c>
      <c r="G32" t="s">
        <v>1991</v>
      </c>
      <c r="H32">
        <v>128</v>
      </c>
      <c r="I32">
        <v>1</v>
      </c>
      <c r="J32">
        <v>744</v>
      </c>
      <c r="K32">
        <v>4719</v>
      </c>
      <c r="L32" t="s">
        <v>1992</v>
      </c>
      <c r="M32" t="s">
        <v>1993</v>
      </c>
      <c r="N32" t="s">
        <v>1994</v>
      </c>
      <c r="O32" t="s">
        <v>1998</v>
      </c>
      <c r="P32" t="b">
        <v>1</v>
      </c>
      <c r="Q32" t="b">
        <v>0</v>
      </c>
      <c r="R32" t="b">
        <v>1</v>
      </c>
      <c r="S32" t="b">
        <v>1</v>
      </c>
      <c r="T32" t="b">
        <v>1</v>
      </c>
      <c r="U32" t="s">
        <v>3587</v>
      </c>
    </row>
    <row r="33" spans="1:21">
      <c r="A33" t="s">
        <v>3619</v>
      </c>
      <c r="B33" t="s">
        <v>3619</v>
      </c>
      <c r="C33" t="s">
        <v>2350</v>
      </c>
      <c r="D33" t="s">
        <v>3620</v>
      </c>
      <c r="E33" t="s">
        <v>1982</v>
      </c>
      <c r="F33" t="s">
        <v>204</v>
      </c>
      <c r="G33" t="s">
        <v>1991</v>
      </c>
      <c r="H33">
        <v>2320</v>
      </c>
      <c r="I33">
        <v>262</v>
      </c>
      <c r="J33">
        <v>3005</v>
      </c>
      <c r="K33">
        <v>5</v>
      </c>
      <c r="L33" t="s">
        <v>1992</v>
      </c>
      <c r="M33" t="s">
        <v>1993</v>
      </c>
      <c r="N33" t="s">
        <v>1994</v>
      </c>
      <c r="O33" t="s">
        <v>1995</v>
      </c>
      <c r="P33" t="b">
        <v>1</v>
      </c>
      <c r="Q33" t="b">
        <v>0</v>
      </c>
      <c r="R33" t="b">
        <v>1</v>
      </c>
      <c r="S33" t="b">
        <v>1</v>
      </c>
      <c r="T33" t="b">
        <v>1</v>
      </c>
      <c r="U33" t="s">
        <v>3587</v>
      </c>
    </row>
    <row r="34" spans="1:21">
      <c r="A34" t="s">
        <v>3621</v>
      </c>
      <c r="B34" t="s">
        <v>3621</v>
      </c>
      <c r="C34" t="s">
        <v>3622</v>
      </c>
      <c r="D34" t="s">
        <v>3623</v>
      </c>
      <c r="E34" t="s">
        <v>1982</v>
      </c>
      <c r="F34" t="s">
        <v>204</v>
      </c>
      <c r="G34" t="s">
        <v>1991</v>
      </c>
      <c r="H34" t="s">
        <v>31</v>
      </c>
      <c r="I34" t="s">
        <v>31</v>
      </c>
      <c r="J34" t="s">
        <v>31</v>
      </c>
      <c r="K34" t="s">
        <v>31</v>
      </c>
      <c r="L34" t="s">
        <v>1992</v>
      </c>
      <c r="M34" t="s">
        <v>1993</v>
      </c>
      <c r="N34" t="s">
        <v>1994</v>
      </c>
      <c r="O34" t="s">
        <v>1998</v>
      </c>
      <c r="P34" t="b">
        <v>1</v>
      </c>
      <c r="Q34" t="b">
        <v>0</v>
      </c>
      <c r="R34" t="b">
        <v>1</v>
      </c>
      <c r="S34" t="b">
        <v>1</v>
      </c>
      <c r="T34" t="b">
        <v>1</v>
      </c>
      <c r="U34" t="s">
        <v>3587</v>
      </c>
    </row>
    <row r="35" spans="1:21">
      <c r="A35" t="s">
        <v>3624</v>
      </c>
      <c r="B35" t="s">
        <v>3624</v>
      </c>
      <c r="C35" t="s">
        <v>2398</v>
      </c>
      <c r="D35" t="s">
        <v>3625</v>
      </c>
      <c r="E35" t="s">
        <v>1982</v>
      </c>
      <c r="F35" t="s">
        <v>204</v>
      </c>
      <c r="G35" t="s">
        <v>1991</v>
      </c>
      <c r="H35">
        <v>1627</v>
      </c>
      <c r="I35">
        <v>95</v>
      </c>
      <c r="J35">
        <v>3836</v>
      </c>
      <c r="K35">
        <v>34</v>
      </c>
      <c r="L35" t="s">
        <v>1992</v>
      </c>
      <c r="M35" t="s">
        <v>1993</v>
      </c>
      <c r="N35" t="s">
        <v>1994</v>
      </c>
      <c r="O35" t="s">
        <v>1995</v>
      </c>
      <c r="P35" t="b">
        <v>1</v>
      </c>
      <c r="Q35" t="b">
        <v>0</v>
      </c>
      <c r="R35" t="b">
        <v>1</v>
      </c>
      <c r="S35" t="b">
        <v>1</v>
      </c>
      <c r="T35" t="b">
        <v>1</v>
      </c>
      <c r="U35" t="s">
        <v>3587</v>
      </c>
    </row>
    <row r="36" spans="1:21">
      <c r="A36" t="s">
        <v>613</v>
      </c>
      <c r="B36" t="s">
        <v>31</v>
      </c>
      <c r="C36" t="s">
        <v>606</v>
      </c>
      <c r="D36" t="s">
        <v>3626</v>
      </c>
      <c r="E36" t="s">
        <v>1982</v>
      </c>
      <c r="F36" t="s">
        <v>614</v>
      </c>
      <c r="G36" t="s">
        <v>18</v>
      </c>
      <c r="H36">
        <v>2229</v>
      </c>
      <c r="I36">
        <v>152</v>
      </c>
      <c r="J36">
        <v>2901</v>
      </c>
      <c r="K36">
        <v>310</v>
      </c>
      <c r="L36" t="s">
        <v>1983</v>
      </c>
      <c r="M36" t="s">
        <v>1984</v>
      </c>
      <c r="N36" t="s">
        <v>2002</v>
      </c>
      <c r="O36" t="s">
        <v>2016</v>
      </c>
      <c r="P36" t="b">
        <v>1</v>
      </c>
      <c r="Q36" t="b">
        <v>0</v>
      </c>
      <c r="R36" t="b">
        <v>1</v>
      </c>
      <c r="S36" t="b">
        <v>1</v>
      </c>
      <c r="T36" t="b">
        <v>1</v>
      </c>
      <c r="U36" t="s">
        <v>3587</v>
      </c>
    </row>
    <row r="37" spans="1:21">
      <c r="A37" t="s">
        <v>3627</v>
      </c>
      <c r="B37" t="s">
        <v>3627</v>
      </c>
      <c r="C37" t="s">
        <v>2993</v>
      </c>
      <c r="D37" t="s">
        <v>3628</v>
      </c>
      <c r="E37" t="s">
        <v>1982</v>
      </c>
      <c r="F37" t="s">
        <v>204</v>
      </c>
      <c r="G37" t="s">
        <v>1991</v>
      </c>
      <c r="H37">
        <v>1156</v>
      </c>
      <c r="I37">
        <v>22</v>
      </c>
      <c r="J37">
        <v>4248</v>
      </c>
      <c r="K37">
        <v>166</v>
      </c>
      <c r="L37" t="s">
        <v>1992</v>
      </c>
      <c r="M37" t="s">
        <v>1993</v>
      </c>
      <c r="N37" t="s">
        <v>1994</v>
      </c>
      <c r="O37" t="s">
        <v>2001</v>
      </c>
      <c r="P37" t="b">
        <v>1</v>
      </c>
      <c r="Q37" t="b">
        <v>0</v>
      </c>
      <c r="R37" t="b">
        <v>1</v>
      </c>
      <c r="S37" t="b">
        <v>1</v>
      </c>
      <c r="T37" t="b">
        <v>1</v>
      </c>
      <c r="U37" t="s">
        <v>3587</v>
      </c>
    </row>
    <row r="38" spans="1:21">
      <c r="A38" t="s">
        <v>3629</v>
      </c>
      <c r="B38" t="s">
        <v>3629</v>
      </c>
      <c r="C38" t="s">
        <v>3630</v>
      </c>
      <c r="D38" t="s">
        <v>3631</v>
      </c>
      <c r="E38" t="s">
        <v>1982</v>
      </c>
      <c r="F38" t="s">
        <v>204</v>
      </c>
      <c r="G38" t="s">
        <v>1991</v>
      </c>
      <c r="H38">
        <v>1148</v>
      </c>
      <c r="I38">
        <v>23</v>
      </c>
      <c r="J38">
        <v>4310</v>
      </c>
      <c r="K38">
        <v>111</v>
      </c>
      <c r="L38" t="s">
        <v>1992</v>
      </c>
      <c r="M38" t="s">
        <v>1993</v>
      </c>
      <c r="N38" t="s">
        <v>1994</v>
      </c>
      <c r="O38" t="s">
        <v>2001</v>
      </c>
      <c r="P38" t="b">
        <v>1</v>
      </c>
      <c r="Q38" t="b">
        <v>0</v>
      </c>
      <c r="R38" t="b">
        <v>1</v>
      </c>
      <c r="S38" t="b">
        <v>1</v>
      </c>
      <c r="T38" t="b">
        <v>1</v>
      </c>
      <c r="U38" t="s">
        <v>3587</v>
      </c>
    </row>
    <row r="39" spans="1:21">
      <c r="A39" t="s">
        <v>3632</v>
      </c>
      <c r="B39" t="s">
        <v>3632</v>
      </c>
      <c r="C39" t="s">
        <v>3633</v>
      </c>
      <c r="D39" t="s">
        <v>3634</v>
      </c>
      <c r="E39" t="s">
        <v>1982</v>
      </c>
      <c r="F39" t="s">
        <v>204</v>
      </c>
      <c r="G39" t="s">
        <v>1991</v>
      </c>
      <c r="H39">
        <v>1577</v>
      </c>
      <c r="I39">
        <v>45</v>
      </c>
      <c r="J39">
        <v>3927</v>
      </c>
      <c r="K39">
        <v>43</v>
      </c>
      <c r="L39" t="s">
        <v>1992</v>
      </c>
      <c r="M39" t="s">
        <v>1993</v>
      </c>
      <c r="N39" t="s">
        <v>1994</v>
      </c>
      <c r="O39" t="s">
        <v>2001</v>
      </c>
      <c r="P39" t="b">
        <v>1</v>
      </c>
      <c r="Q39" t="b">
        <v>0</v>
      </c>
      <c r="R39" t="b">
        <v>1</v>
      </c>
      <c r="S39" t="b">
        <v>1</v>
      </c>
      <c r="T39" t="b">
        <v>1</v>
      </c>
      <c r="U39" t="s">
        <v>3587</v>
      </c>
    </row>
    <row r="40" spans="1:21">
      <c r="A40" t="s">
        <v>3635</v>
      </c>
      <c r="B40" t="s">
        <v>3635</v>
      </c>
      <c r="C40" t="s">
        <v>3636</v>
      </c>
      <c r="D40" t="s">
        <v>3637</v>
      </c>
      <c r="E40" t="s">
        <v>1982</v>
      </c>
      <c r="F40" t="s">
        <v>204</v>
      </c>
      <c r="G40" t="s">
        <v>1991</v>
      </c>
      <c r="H40">
        <v>1867</v>
      </c>
      <c r="I40">
        <v>37</v>
      </c>
      <c r="J40">
        <v>3641</v>
      </c>
      <c r="K40">
        <v>47</v>
      </c>
      <c r="L40" t="s">
        <v>1992</v>
      </c>
      <c r="M40" t="s">
        <v>1993</v>
      </c>
      <c r="N40" t="s">
        <v>1994</v>
      </c>
      <c r="O40" t="s">
        <v>2001</v>
      </c>
      <c r="P40" t="b">
        <v>1</v>
      </c>
      <c r="Q40" t="b">
        <v>0</v>
      </c>
      <c r="R40" t="b">
        <v>1</v>
      </c>
      <c r="S40" t="b">
        <v>1</v>
      </c>
      <c r="T40" t="b">
        <v>1</v>
      </c>
      <c r="U40" t="s">
        <v>3587</v>
      </c>
    </row>
    <row r="41" spans="1:21">
      <c r="A41" t="s">
        <v>3638</v>
      </c>
      <c r="B41" t="s">
        <v>3638</v>
      </c>
      <c r="C41" t="s">
        <v>3639</v>
      </c>
      <c r="D41" t="s">
        <v>3640</v>
      </c>
      <c r="E41" t="s">
        <v>1982</v>
      </c>
      <c r="F41" t="s">
        <v>204</v>
      </c>
      <c r="G41" t="s">
        <v>1991</v>
      </c>
      <c r="H41">
        <v>626</v>
      </c>
      <c r="I41">
        <v>14</v>
      </c>
      <c r="J41">
        <v>4780</v>
      </c>
      <c r="K41">
        <v>172</v>
      </c>
      <c r="L41" t="s">
        <v>1992</v>
      </c>
      <c r="M41" t="s">
        <v>1993</v>
      </c>
      <c r="N41" t="s">
        <v>1994</v>
      </c>
      <c r="O41" t="s">
        <v>1998</v>
      </c>
      <c r="P41" t="b">
        <v>1</v>
      </c>
      <c r="Q41" t="b">
        <v>0</v>
      </c>
      <c r="R41" t="b">
        <v>1</v>
      </c>
      <c r="S41" t="b">
        <v>1</v>
      </c>
      <c r="T41" t="b">
        <v>1</v>
      </c>
      <c r="U41" t="s">
        <v>3587</v>
      </c>
    </row>
    <row r="42" spans="1:21">
      <c r="A42" t="s">
        <v>3641</v>
      </c>
      <c r="B42" t="s">
        <v>3641</v>
      </c>
      <c r="C42" t="s">
        <v>3642</v>
      </c>
      <c r="D42" t="s">
        <v>3643</v>
      </c>
      <c r="E42" t="s">
        <v>1982</v>
      </c>
      <c r="F42" t="s">
        <v>204</v>
      </c>
      <c r="G42" t="s">
        <v>1991</v>
      </c>
      <c r="H42">
        <v>2634</v>
      </c>
      <c r="I42">
        <v>59</v>
      </c>
      <c r="J42">
        <v>2892</v>
      </c>
      <c r="K42">
        <v>7</v>
      </c>
      <c r="L42" t="s">
        <v>1992</v>
      </c>
      <c r="M42" t="s">
        <v>1993</v>
      </c>
      <c r="N42" t="s">
        <v>1994</v>
      </c>
      <c r="O42" t="s">
        <v>31</v>
      </c>
      <c r="P42" t="b">
        <v>1</v>
      </c>
      <c r="Q42" t="b">
        <v>0</v>
      </c>
      <c r="R42" t="b">
        <v>1</v>
      </c>
      <c r="S42" t="b">
        <v>1</v>
      </c>
      <c r="T42" t="b">
        <v>1</v>
      </c>
      <c r="U42" t="s">
        <v>3587</v>
      </c>
    </row>
    <row r="43" spans="1:21">
      <c r="A43" t="s">
        <v>3644</v>
      </c>
      <c r="B43" t="s">
        <v>3644</v>
      </c>
      <c r="C43" t="s">
        <v>3478</v>
      </c>
      <c r="D43" t="s">
        <v>3645</v>
      </c>
      <c r="E43" t="s">
        <v>1982</v>
      </c>
      <c r="F43" t="s">
        <v>204</v>
      </c>
      <c r="G43" t="s">
        <v>1991</v>
      </c>
      <c r="H43">
        <v>1941</v>
      </c>
      <c r="I43">
        <v>273</v>
      </c>
      <c r="J43">
        <v>3350</v>
      </c>
      <c r="K43">
        <v>28</v>
      </c>
      <c r="L43" t="s">
        <v>1992</v>
      </c>
      <c r="M43" t="s">
        <v>1993</v>
      </c>
      <c r="N43" t="s">
        <v>1994</v>
      </c>
      <c r="O43" t="s">
        <v>3460</v>
      </c>
      <c r="P43" t="b">
        <v>1</v>
      </c>
      <c r="Q43" t="b">
        <v>0</v>
      </c>
      <c r="R43" t="b">
        <v>1</v>
      </c>
      <c r="S43" t="b">
        <v>1</v>
      </c>
      <c r="T43" t="b">
        <v>1</v>
      </c>
      <c r="U43" t="s">
        <v>3587</v>
      </c>
    </row>
    <row r="44" spans="1:21">
      <c r="A44" t="s">
        <v>3646</v>
      </c>
      <c r="B44" t="s">
        <v>3647</v>
      </c>
      <c r="C44" t="s">
        <v>3485</v>
      </c>
      <c r="D44" t="s">
        <v>3648</v>
      </c>
      <c r="E44" t="s">
        <v>1982</v>
      </c>
      <c r="F44" t="s">
        <v>204</v>
      </c>
      <c r="G44" t="s">
        <v>1991</v>
      </c>
      <c r="H44">
        <v>1410</v>
      </c>
      <c r="I44">
        <v>1009</v>
      </c>
      <c r="J44">
        <v>3167</v>
      </c>
      <c r="K44">
        <v>6</v>
      </c>
      <c r="L44" t="s">
        <v>1992</v>
      </c>
      <c r="M44" t="s">
        <v>1993</v>
      </c>
      <c r="N44" t="s">
        <v>1994</v>
      </c>
      <c r="O44" t="s">
        <v>3460</v>
      </c>
      <c r="P44" t="b">
        <v>1</v>
      </c>
      <c r="Q44" t="b">
        <v>0</v>
      </c>
      <c r="R44" t="b">
        <v>1</v>
      </c>
      <c r="S44" t="b">
        <v>1</v>
      </c>
      <c r="T44" t="b">
        <v>1</v>
      </c>
      <c r="U44" t="s">
        <v>3587</v>
      </c>
    </row>
    <row r="45" spans="1:21">
      <c r="A45" t="s">
        <v>3649</v>
      </c>
      <c r="B45" t="s">
        <v>3650</v>
      </c>
      <c r="C45" t="s">
        <v>3501</v>
      </c>
      <c r="D45" t="s">
        <v>3651</v>
      </c>
      <c r="E45" t="s">
        <v>1982</v>
      </c>
      <c r="F45" t="s">
        <v>204</v>
      </c>
      <c r="G45" t="s">
        <v>1991</v>
      </c>
      <c r="H45">
        <v>303</v>
      </c>
      <c r="I45">
        <v>7</v>
      </c>
      <c r="J45">
        <v>4503</v>
      </c>
      <c r="K45">
        <v>779</v>
      </c>
      <c r="L45" t="s">
        <v>1992</v>
      </c>
      <c r="M45" t="s">
        <v>1993</v>
      </c>
      <c r="N45" t="s">
        <v>1994</v>
      </c>
      <c r="O45" t="s">
        <v>3015</v>
      </c>
      <c r="P45" t="b">
        <v>1</v>
      </c>
      <c r="Q45" t="b">
        <v>0</v>
      </c>
      <c r="R45" t="b">
        <v>1</v>
      </c>
      <c r="S45" t="b">
        <v>1</v>
      </c>
      <c r="T45" t="b">
        <v>1</v>
      </c>
      <c r="U45" t="s">
        <v>3587</v>
      </c>
    </row>
    <row r="46" spans="1:21">
      <c r="A46" t="s">
        <v>3652</v>
      </c>
      <c r="B46" t="s">
        <v>3652</v>
      </c>
      <c r="C46" t="s">
        <v>3653</v>
      </c>
      <c r="D46" t="s">
        <v>3654</v>
      </c>
      <c r="E46" t="s">
        <v>1982</v>
      </c>
      <c r="F46" t="s">
        <v>204</v>
      </c>
      <c r="G46" t="s">
        <v>1991</v>
      </c>
      <c r="H46">
        <v>2412</v>
      </c>
      <c r="I46">
        <v>77</v>
      </c>
      <c r="J46">
        <v>3073</v>
      </c>
      <c r="K46">
        <v>30</v>
      </c>
      <c r="L46" t="s">
        <v>1992</v>
      </c>
      <c r="M46" t="s">
        <v>1993</v>
      </c>
      <c r="N46" t="s">
        <v>1994</v>
      </c>
      <c r="O46" t="s">
        <v>3015</v>
      </c>
      <c r="P46" t="b">
        <v>1</v>
      </c>
      <c r="Q46" t="b">
        <v>0</v>
      </c>
      <c r="R46" t="b">
        <v>1</v>
      </c>
      <c r="S46" t="b">
        <v>1</v>
      </c>
      <c r="T46" t="b">
        <v>1</v>
      </c>
      <c r="U46" t="s">
        <v>3587</v>
      </c>
    </row>
    <row r="47" spans="1:21">
      <c r="A47" t="s">
        <v>3655</v>
      </c>
      <c r="B47" t="s">
        <v>31</v>
      </c>
      <c r="C47" t="s">
        <v>418</v>
      </c>
      <c r="D47" t="s">
        <v>31</v>
      </c>
      <c r="E47" t="s">
        <v>1987</v>
      </c>
      <c r="F47" t="s">
        <v>31</v>
      </c>
      <c r="G47" t="s">
        <v>18</v>
      </c>
      <c r="H47">
        <v>255</v>
      </c>
      <c r="I47">
        <v>5311</v>
      </c>
      <c r="J47">
        <v>21</v>
      </c>
      <c r="K47">
        <v>5</v>
      </c>
      <c r="L47" t="s">
        <v>1992</v>
      </c>
      <c r="M47" t="s">
        <v>1993</v>
      </c>
      <c r="N47" t="s">
        <v>2017</v>
      </c>
      <c r="O47" t="s">
        <v>2062</v>
      </c>
      <c r="P47" t="b">
        <v>1</v>
      </c>
      <c r="Q47" t="b">
        <v>1</v>
      </c>
      <c r="R47" t="b">
        <v>0</v>
      </c>
      <c r="S47" t="b">
        <v>1</v>
      </c>
      <c r="T47" t="b">
        <v>1</v>
      </c>
      <c r="U47" t="s">
        <v>3656</v>
      </c>
    </row>
    <row r="48" spans="1:21">
      <c r="A48" t="s">
        <v>3657</v>
      </c>
      <c r="B48" t="s">
        <v>31</v>
      </c>
      <c r="C48" t="s">
        <v>406</v>
      </c>
      <c r="D48" t="s">
        <v>31</v>
      </c>
      <c r="E48" t="s">
        <v>1987</v>
      </c>
      <c r="F48" t="s">
        <v>31</v>
      </c>
      <c r="G48" t="s">
        <v>18</v>
      </c>
      <c r="H48">
        <v>103</v>
      </c>
      <c r="I48">
        <v>5463</v>
      </c>
      <c r="J48">
        <v>19</v>
      </c>
      <c r="K48">
        <v>7</v>
      </c>
      <c r="L48" t="s">
        <v>1992</v>
      </c>
      <c r="M48" t="s">
        <v>1993</v>
      </c>
      <c r="N48" t="s">
        <v>2017</v>
      </c>
      <c r="O48" t="s">
        <v>2018</v>
      </c>
      <c r="P48" t="b">
        <v>1</v>
      </c>
      <c r="Q48" t="b">
        <v>1</v>
      </c>
      <c r="R48" t="b">
        <v>0</v>
      </c>
      <c r="S48" t="b">
        <v>1</v>
      </c>
      <c r="T48" t="b">
        <v>1</v>
      </c>
      <c r="U48" t="s">
        <v>3658</v>
      </c>
    </row>
    <row r="49" spans="1:21">
      <c r="A49" t="s">
        <v>3659</v>
      </c>
      <c r="B49" t="s">
        <v>31</v>
      </c>
      <c r="C49" t="s">
        <v>3660</v>
      </c>
      <c r="D49" t="s">
        <v>31</v>
      </c>
      <c r="E49" t="s">
        <v>1982</v>
      </c>
      <c r="F49" t="s">
        <v>31</v>
      </c>
      <c r="G49" t="s">
        <v>18</v>
      </c>
      <c r="H49">
        <v>4130</v>
      </c>
      <c r="I49">
        <v>453</v>
      </c>
      <c r="J49">
        <v>814</v>
      </c>
      <c r="K49">
        <v>195</v>
      </c>
      <c r="L49" t="s">
        <v>1983</v>
      </c>
      <c r="M49" t="s">
        <v>1984</v>
      </c>
      <c r="N49" t="s">
        <v>1985</v>
      </c>
      <c r="O49" t="s">
        <v>1986</v>
      </c>
      <c r="P49" t="b">
        <v>1</v>
      </c>
      <c r="Q49" t="b">
        <v>1</v>
      </c>
      <c r="R49" t="b">
        <v>0</v>
      </c>
      <c r="S49" t="b">
        <v>1</v>
      </c>
      <c r="T49" t="b">
        <v>1</v>
      </c>
      <c r="U49" t="s">
        <v>3661</v>
      </c>
    </row>
    <row r="50" spans="1:21">
      <c r="A50" t="s">
        <v>1480</v>
      </c>
      <c r="B50" t="s">
        <v>31</v>
      </c>
      <c r="C50" t="s">
        <v>1481</v>
      </c>
      <c r="D50" t="s">
        <v>2059</v>
      </c>
      <c r="E50" t="s">
        <v>1982</v>
      </c>
      <c r="F50" t="s">
        <v>204</v>
      </c>
      <c r="G50" t="s">
        <v>1376</v>
      </c>
      <c r="H50">
        <v>2383</v>
      </c>
      <c r="I50">
        <v>801</v>
      </c>
      <c r="J50">
        <v>2057</v>
      </c>
      <c r="K50">
        <v>351</v>
      </c>
      <c r="L50" t="s">
        <v>1983</v>
      </c>
      <c r="M50" t="s">
        <v>1984</v>
      </c>
      <c r="N50" t="s">
        <v>1985</v>
      </c>
      <c r="O50" t="s">
        <v>1986</v>
      </c>
      <c r="P50" t="b">
        <v>1</v>
      </c>
      <c r="Q50" t="b">
        <v>1</v>
      </c>
      <c r="R50" t="b">
        <v>0</v>
      </c>
      <c r="S50" t="b">
        <v>1</v>
      </c>
      <c r="T50" t="b">
        <v>1</v>
      </c>
      <c r="U50" t="s">
        <v>3662</v>
      </c>
    </row>
    <row r="51" spans="1:21">
      <c r="A51" t="s">
        <v>3663</v>
      </c>
      <c r="B51" t="s">
        <v>31</v>
      </c>
      <c r="C51" t="s">
        <v>1008</v>
      </c>
      <c r="D51" t="s">
        <v>3664</v>
      </c>
      <c r="E51" t="s">
        <v>1982</v>
      </c>
      <c r="F51" t="s">
        <v>71</v>
      </c>
      <c r="G51" t="s">
        <v>1991</v>
      </c>
      <c r="H51">
        <v>55</v>
      </c>
      <c r="I51">
        <v>5276</v>
      </c>
      <c r="J51">
        <v>146</v>
      </c>
      <c r="K51">
        <v>115</v>
      </c>
      <c r="L51" t="s">
        <v>1983</v>
      </c>
      <c r="M51" t="s">
        <v>1984</v>
      </c>
      <c r="N51" t="s">
        <v>2002</v>
      </c>
      <c r="O51" t="s">
        <v>2030</v>
      </c>
      <c r="P51" t="b">
        <v>1</v>
      </c>
      <c r="Q51" t="b">
        <v>1</v>
      </c>
      <c r="R51" t="b">
        <v>0</v>
      </c>
      <c r="S51" t="b">
        <v>1</v>
      </c>
      <c r="T51" t="b">
        <v>1</v>
      </c>
      <c r="U51" t="s">
        <v>3656</v>
      </c>
    </row>
    <row r="52" spans="1:21">
      <c r="A52" t="s">
        <v>3665</v>
      </c>
      <c r="B52" t="s">
        <v>31</v>
      </c>
      <c r="C52" t="s">
        <v>3666</v>
      </c>
      <c r="D52" t="s">
        <v>2059</v>
      </c>
      <c r="E52" t="s">
        <v>1982</v>
      </c>
      <c r="F52" t="s">
        <v>1906</v>
      </c>
      <c r="G52" t="s">
        <v>1376</v>
      </c>
      <c r="H52">
        <v>3372</v>
      </c>
      <c r="I52">
        <v>1959</v>
      </c>
      <c r="J52">
        <v>196</v>
      </c>
      <c r="K52">
        <v>65</v>
      </c>
      <c r="L52" t="s">
        <v>1992</v>
      </c>
      <c r="M52" t="s">
        <v>2012</v>
      </c>
      <c r="N52" t="s">
        <v>2032</v>
      </c>
      <c r="O52" t="s">
        <v>2040</v>
      </c>
      <c r="P52" t="b">
        <v>1</v>
      </c>
      <c r="Q52" t="b">
        <v>1</v>
      </c>
      <c r="R52" t="b">
        <v>0</v>
      </c>
      <c r="S52" t="b">
        <v>1</v>
      </c>
      <c r="T52" t="b">
        <v>1</v>
      </c>
      <c r="U52" t="s">
        <v>3667</v>
      </c>
    </row>
    <row r="53" spans="1:21">
      <c r="A53" t="s">
        <v>3668</v>
      </c>
      <c r="B53" t="s">
        <v>31</v>
      </c>
      <c r="C53" t="s">
        <v>3669</v>
      </c>
      <c r="D53" t="s">
        <v>31</v>
      </c>
      <c r="E53" t="s">
        <v>1982</v>
      </c>
      <c r="F53" t="s">
        <v>204</v>
      </c>
      <c r="G53" t="s">
        <v>1991</v>
      </c>
      <c r="H53">
        <v>2091</v>
      </c>
      <c r="I53">
        <v>1408</v>
      </c>
      <c r="J53">
        <v>2092</v>
      </c>
      <c r="K53">
        <v>1</v>
      </c>
      <c r="L53" t="s">
        <v>1992</v>
      </c>
      <c r="M53" t="s">
        <v>1993</v>
      </c>
      <c r="N53" t="s">
        <v>1994</v>
      </c>
      <c r="O53" t="s">
        <v>1995</v>
      </c>
      <c r="P53" t="b">
        <v>1</v>
      </c>
      <c r="Q53" t="b">
        <v>1</v>
      </c>
      <c r="R53" t="b">
        <v>1</v>
      </c>
      <c r="S53" t="b">
        <v>0</v>
      </c>
      <c r="T53" t="b">
        <v>1</v>
      </c>
      <c r="U53" t="s">
        <v>3656</v>
      </c>
    </row>
    <row r="54" spans="1:21">
      <c r="A54" t="s">
        <v>3670</v>
      </c>
      <c r="B54" t="s">
        <v>31</v>
      </c>
      <c r="C54" t="s">
        <v>3671</v>
      </c>
      <c r="D54" t="s">
        <v>31</v>
      </c>
      <c r="E54" t="s">
        <v>1982</v>
      </c>
      <c r="F54" t="s">
        <v>204</v>
      </c>
      <c r="G54" t="s">
        <v>1991</v>
      </c>
      <c r="H54">
        <v>5093</v>
      </c>
      <c r="I54">
        <v>172</v>
      </c>
      <c r="J54">
        <v>323</v>
      </c>
      <c r="K54">
        <v>4</v>
      </c>
      <c r="L54" t="s">
        <v>1992</v>
      </c>
      <c r="M54" t="s">
        <v>1993</v>
      </c>
      <c r="N54" t="s">
        <v>1994</v>
      </c>
      <c r="O54" t="s">
        <v>2010</v>
      </c>
      <c r="P54" t="b">
        <v>1</v>
      </c>
      <c r="Q54" t="b">
        <v>1</v>
      </c>
      <c r="R54" t="b">
        <v>1</v>
      </c>
      <c r="S54" t="b">
        <v>0</v>
      </c>
      <c r="T54" t="b">
        <v>1</v>
      </c>
      <c r="U54" t="s">
        <v>3656</v>
      </c>
    </row>
    <row r="55" spans="1:21">
      <c r="A55" t="s">
        <v>3672</v>
      </c>
      <c r="B55" t="s">
        <v>31</v>
      </c>
      <c r="C55" t="s">
        <v>3673</v>
      </c>
      <c r="D55" t="s">
        <v>31</v>
      </c>
      <c r="E55" t="s">
        <v>1982</v>
      </c>
      <c r="F55" t="s">
        <v>204</v>
      </c>
      <c r="G55" t="s">
        <v>1991</v>
      </c>
      <c r="H55">
        <v>4727</v>
      </c>
      <c r="I55">
        <v>96</v>
      </c>
      <c r="J55">
        <v>758</v>
      </c>
      <c r="K55">
        <v>11</v>
      </c>
      <c r="L55" t="s">
        <v>1992</v>
      </c>
      <c r="M55" t="s">
        <v>1993</v>
      </c>
      <c r="N55" t="s">
        <v>1994</v>
      </c>
      <c r="O55" t="s">
        <v>2636</v>
      </c>
      <c r="P55" t="b">
        <v>1</v>
      </c>
      <c r="Q55" t="b">
        <v>1</v>
      </c>
      <c r="R55" t="b">
        <v>1</v>
      </c>
      <c r="S55" t="b">
        <v>0</v>
      </c>
      <c r="T55" t="b">
        <v>1</v>
      </c>
      <c r="U55" t="s">
        <v>3656</v>
      </c>
    </row>
    <row r="56" spans="1:21">
      <c r="A56" t="s">
        <v>3674</v>
      </c>
      <c r="B56" t="s">
        <v>31</v>
      </c>
      <c r="C56" t="s">
        <v>3675</v>
      </c>
      <c r="D56" t="s">
        <v>31</v>
      </c>
      <c r="E56" t="s">
        <v>1982</v>
      </c>
      <c r="F56" t="s">
        <v>204</v>
      </c>
      <c r="G56" t="s">
        <v>1991</v>
      </c>
      <c r="H56">
        <v>3211</v>
      </c>
      <c r="I56">
        <v>728</v>
      </c>
      <c r="J56">
        <v>1650</v>
      </c>
      <c r="K56">
        <v>3</v>
      </c>
      <c r="L56" t="s">
        <v>1992</v>
      </c>
      <c r="M56" t="s">
        <v>1993</v>
      </c>
      <c r="N56" t="s">
        <v>1994</v>
      </c>
      <c r="O56" t="s">
        <v>1995</v>
      </c>
      <c r="P56" t="b">
        <v>1</v>
      </c>
      <c r="Q56" t="b">
        <v>1</v>
      </c>
      <c r="R56" t="b">
        <v>1</v>
      </c>
      <c r="S56" t="b">
        <v>0</v>
      </c>
      <c r="T56" t="b">
        <v>1</v>
      </c>
      <c r="U56" t="s">
        <v>3656</v>
      </c>
    </row>
    <row r="57" spans="1:21">
      <c r="A57" t="s">
        <v>3676</v>
      </c>
      <c r="B57" t="s">
        <v>31</v>
      </c>
      <c r="C57" t="s">
        <v>2617</v>
      </c>
      <c r="D57" t="s">
        <v>31</v>
      </c>
      <c r="E57" t="s">
        <v>1982</v>
      </c>
      <c r="F57" t="s">
        <v>204</v>
      </c>
      <c r="G57" t="s">
        <v>1991</v>
      </c>
      <c r="H57">
        <v>3439</v>
      </c>
      <c r="I57">
        <v>647</v>
      </c>
      <c r="J57">
        <v>1503</v>
      </c>
      <c r="K57">
        <v>3</v>
      </c>
      <c r="L57" t="s">
        <v>1992</v>
      </c>
      <c r="M57" t="s">
        <v>1993</v>
      </c>
      <c r="N57" t="s">
        <v>1994</v>
      </c>
      <c r="O57" t="s">
        <v>31</v>
      </c>
      <c r="P57" t="b">
        <v>1</v>
      </c>
      <c r="Q57" t="b">
        <v>1</v>
      </c>
      <c r="R57" t="b">
        <v>1</v>
      </c>
      <c r="S57" t="b">
        <v>0</v>
      </c>
      <c r="T57" t="b">
        <v>1</v>
      </c>
      <c r="U57" t="s">
        <v>3656</v>
      </c>
    </row>
    <row r="58" spans="1:21">
      <c r="A58" t="s">
        <v>3677</v>
      </c>
      <c r="B58" t="s">
        <v>31</v>
      </c>
      <c r="C58" t="s">
        <v>585</v>
      </c>
      <c r="D58" t="s">
        <v>31</v>
      </c>
      <c r="E58" t="s">
        <v>1982</v>
      </c>
      <c r="F58" t="s">
        <v>204</v>
      </c>
      <c r="G58" t="s">
        <v>1991</v>
      </c>
      <c r="H58">
        <v>4065</v>
      </c>
      <c r="I58">
        <v>440</v>
      </c>
      <c r="J58">
        <v>1084</v>
      </c>
      <c r="K58">
        <v>3</v>
      </c>
      <c r="L58" t="s">
        <v>1992</v>
      </c>
      <c r="M58" t="s">
        <v>1993</v>
      </c>
      <c r="N58" t="s">
        <v>1994</v>
      </c>
      <c r="O58" t="s">
        <v>1998</v>
      </c>
      <c r="P58" t="b">
        <v>1</v>
      </c>
      <c r="Q58" t="b">
        <v>1</v>
      </c>
      <c r="R58" t="b">
        <v>1</v>
      </c>
      <c r="S58" t="b">
        <v>0</v>
      </c>
      <c r="T58" t="b">
        <v>1</v>
      </c>
      <c r="U58" t="s">
        <v>3656</v>
      </c>
    </row>
    <row r="59" spans="1:21">
      <c r="A59" t="s">
        <v>3678</v>
      </c>
      <c r="B59" t="s">
        <v>31</v>
      </c>
      <c r="C59" t="s">
        <v>2925</v>
      </c>
      <c r="D59" t="s">
        <v>31</v>
      </c>
      <c r="E59" t="s">
        <v>1987</v>
      </c>
      <c r="F59" t="s">
        <v>204</v>
      </c>
      <c r="G59" t="s">
        <v>1991</v>
      </c>
      <c r="H59">
        <v>4391</v>
      </c>
      <c r="I59">
        <v>544</v>
      </c>
      <c r="J59">
        <v>654</v>
      </c>
      <c r="K59">
        <v>3</v>
      </c>
      <c r="L59" t="s">
        <v>1992</v>
      </c>
      <c r="M59" t="s">
        <v>1993</v>
      </c>
      <c r="N59" t="s">
        <v>1994</v>
      </c>
      <c r="O59" t="s">
        <v>2284</v>
      </c>
      <c r="P59" t="b">
        <v>1</v>
      </c>
      <c r="Q59" t="b">
        <v>1</v>
      </c>
      <c r="R59" t="b">
        <v>1</v>
      </c>
      <c r="S59" t="b">
        <v>0</v>
      </c>
      <c r="T59" t="b">
        <v>1</v>
      </c>
      <c r="U59" t="s">
        <v>3656</v>
      </c>
    </row>
    <row r="60" spans="1:21">
      <c r="A60" t="s">
        <v>3679</v>
      </c>
      <c r="B60" t="s">
        <v>31</v>
      </c>
      <c r="C60" t="s">
        <v>3680</v>
      </c>
      <c r="D60" t="s">
        <v>31</v>
      </c>
      <c r="E60" t="s">
        <v>1982</v>
      </c>
      <c r="F60" t="s">
        <v>204</v>
      </c>
      <c r="G60" t="s">
        <v>1991</v>
      </c>
      <c r="H60">
        <v>3269</v>
      </c>
      <c r="I60">
        <v>816</v>
      </c>
      <c r="J60">
        <v>1506</v>
      </c>
      <c r="K60">
        <v>1</v>
      </c>
      <c r="L60" t="s">
        <v>1992</v>
      </c>
      <c r="M60" t="s">
        <v>1993</v>
      </c>
      <c r="N60" t="s">
        <v>1994</v>
      </c>
      <c r="O60" t="s">
        <v>2001</v>
      </c>
      <c r="P60" t="b">
        <v>1</v>
      </c>
      <c r="Q60" t="b">
        <v>1</v>
      </c>
      <c r="R60" t="b">
        <v>1</v>
      </c>
      <c r="S60" t="b">
        <v>0</v>
      </c>
      <c r="T60" t="b">
        <v>1</v>
      </c>
      <c r="U60" t="s">
        <v>3656</v>
      </c>
    </row>
    <row r="61" spans="1:21">
      <c r="A61" t="s">
        <v>3681</v>
      </c>
      <c r="B61" t="s">
        <v>31</v>
      </c>
      <c r="C61" t="s">
        <v>3682</v>
      </c>
      <c r="D61" t="s">
        <v>31</v>
      </c>
      <c r="E61" t="s">
        <v>1982</v>
      </c>
      <c r="F61" t="s">
        <v>204</v>
      </c>
      <c r="G61" t="s">
        <v>1991</v>
      </c>
      <c r="H61">
        <v>3011</v>
      </c>
      <c r="I61">
        <v>1127</v>
      </c>
      <c r="J61">
        <v>1454</v>
      </c>
      <c r="K61">
        <v>0</v>
      </c>
      <c r="L61" t="s">
        <v>1992</v>
      </c>
      <c r="M61" t="s">
        <v>1993</v>
      </c>
      <c r="N61" t="s">
        <v>1994</v>
      </c>
      <c r="O61" t="s">
        <v>2001</v>
      </c>
      <c r="P61" t="b">
        <v>1</v>
      </c>
      <c r="Q61" t="b">
        <v>1</v>
      </c>
      <c r="R61" t="b">
        <v>1</v>
      </c>
      <c r="S61" t="b">
        <v>0</v>
      </c>
      <c r="T61" t="b">
        <v>1</v>
      </c>
      <c r="U61" t="s">
        <v>3656</v>
      </c>
    </row>
    <row r="62" spans="1:21">
      <c r="A62" t="s">
        <v>3683</v>
      </c>
      <c r="B62" t="s">
        <v>31</v>
      </c>
      <c r="C62" t="s">
        <v>3040</v>
      </c>
      <c r="D62" t="s">
        <v>31</v>
      </c>
      <c r="E62" t="s">
        <v>1982</v>
      </c>
      <c r="F62" t="s">
        <v>204</v>
      </c>
      <c r="G62" t="s">
        <v>1991</v>
      </c>
      <c r="H62">
        <v>4959</v>
      </c>
      <c r="I62">
        <v>201</v>
      </c>
      <c r="J62">
        <v>421</v>
      </c>
      <c r="K62">
        <v>11</v>
      </c>
      <c r="L62" t="s">
        <v>1992</v>
      </c>
      <c r="M62" t="s">
        <v>1993</v>
      </c>
      <c r="N62" t="s">
        <v>1994</v>
      </c>
      <c r="O62" t="s">
        <v>2710</v>
      </c>
      <c r="P62" t="b">
        <v>1</v>
      </c>
      <c r="Q62" t="b">
        <v>1</v>
      </c>
      <c r="R62" t="b">
        <v>1</v>
      </c>
      <c r="S62" t="b">
        <v>0</v>
      </c>
      <c r="T62" t="b">
        <v>1</v>
      </c>
      <c r="U62" t="s">
        <v>3656</v>
      </c>
    </row>
    <row r="63" spans="1:21">
      <c r="A63" t="s">
        <v>3684</v>
      </c>
      <c r="B63" t="s">
        <v>31</v>
      </c>
      <c r="C63" t="s">
        <v>3504</v>
      </c>
      <c r="D63" t="s">
        <v>31</v>
      </c>
      <c r="E63" t="s">
        <v>1982</v>
      </c>
      <c r="F63" t="s">
        <v>204</v>
      </c>
      <c r="G63" t="s">
        <v>1991</v>
      </c>
      <c r="H63">
        <v>3416</v>
      </c>
      <c r="I63">
        <v>211</v>
      </c>
      <c r="J63">
        <v>1958</v>
      </c>
      <c r="K63">
        <v>7</v>
      </c>
      <c r="L63" t="s">
        <v>1992</v>
      </c>
      <c r="M63" t="s">
        <v>1993</v>
      </c>
      <c r="N63" t="s">
        <v>1994</v>
      </c>
      <c r="O63" t="s">
        <v>3015</v>
      </c>
      <c r="P63" t="b">
        <v>1</v>
      </c>
      <c r="Q63" t="b">
        <v>1</v>
      </c>
      <c r="R63" t="b">
        <v>1</v>
      </c>
      <c r="S63" t="b">
        <v>0</v>
      </c>
      <c r="T63" t="b">
        <v>1</v>
      </c>
      <c r="U63" t="s">
        <v>3656</v>
      </c>
    </row>
    <row r="64" spans="1:21">
      <c r="A64" t="s">
        <v>3685</v>
      </c>
      <c r="B64" t="s">
        <v>31</v>
      </c>
      <c r="C64" t="s">
        <v>3511</v>
      </c>
      <c r="D64" t="s">
        <v>31</v>
      </c>
      <c r="E64" t="s">
        <v>1982</v>
      </c>
      <c r="F64" t="s">
        <v>204</v>
      </c>
      <c r="G64" t="s">
        <v>1991</v>
      </c>
      <c r="H64">
        <v>4948</v>
      </c>
      <c r="I64">
        <v>191</v>
      </c>
      <c r="J64">
        <v>451</v>
      </c>
      <c r="K64">
        <v>2</v>
      </c>
      <c r="L64" t="s">
        <v>1992</v>
      </c>
      <c r="M64" t="s">
        <v>1993</v>
      </c>
      <c r="N64" t="s">
        <v>1994</v>
      </c>
      <c r="O64" t="s">
        <v>3015</v>
      </c>
      <c r="P64" t="b">
        <v>1</v>
      </c>
      <c r="Q64" t="b">
        <v>1</v>
      </c>
      <c r="R64" t="b">
        <v>1</v>
      </c>
      <c r="S64" t="b">
        <v>0</v>
      </c>
      <c r="T64" t="b">
        <v>1</v>
      </c>
      <c r="U64" t="s">
        <v>3656</v>
      </c>
    </row>
    <row r="65" spans="1:21">
      <c r="A65" t="s">
        <v>3686</v>
      </c>
      <c r="B65" t="s">
        <v>3686</v>
      </c>
      <c r="C65" t="s">
        <v>1997</v>
      </c>
      <c r="D65" t="s">
        <v>2083</v>
      </c>
      <c r="E65" t="s">
        <v>1982</v>
      </c>
      <c r="F65" t="s">
        <v>204</v>
      </c>
      <c r="G65" t="s">
        <v>1991</v>
      </c>
      <c r="H65">
        <v>1514</v>
      </c>
      <c r="I65">
        <v>2535</v>
      </c>
      <c r="J65">
        <v>1542</v>
      </c>
      <c r="K65">
        <v>1</v>
      </c>
      <c r="L65" t="s">
        <v>1992</v>
      </c>
      <c r="M65" t="s">
        <v>1993</v>
      </c>
      <c r="N65" t="s">
        <v>1994</v>
      </c>
      <c r="O65" t="s">
        <v>1998</v>
      </c>
      <c r="P65" t="b">
        <v>1</v>
      </c>
      <c r="Q65" t="b">
        <v>1</v>
      </c>
      <c r="R65" t="b">
        <v>1</v>
      </c>
      <c r="S65" t="b">
        <v>1</v>
      </c>
      <c r="T65" t="b">
        <v>0</v>
      </c>
      <c r="U65" t="s">
        <v>3656</v>
      </c>
    </row>
    <row r="66" spans="1:21">
      <c r="A66" t="s">
        <v>3687</v>
      </c>
      <c r="B66" t="s">
        <v>3687</v>
      </c>
      <c r="C66" t="s">
        <v>1997</v>
      </c>
      <c r="D66" t="s">
        <v>2083</v>
      </c>
      <c r="E66" t="s">
        <v>1982</v>
      </c>
      <c r="F66" t="s">
        <v>204</v>
      </c>
      <c r="G66" t="s">
        <v>1991</v>
      </c>
      <c r="H66">
        <v>1952</v>
      </c>
      <c r="I66">
        <v>1628</v>
      </c>
      <c r="J66">
        <v>2011</v>
      </c>
      <c r="K66">
        <v>1</v>
      </c>
      <c r="L66" t="s">
        <v>1992</v>
      </c>
      <c r="M66" t="s">
        <v>1993</v>
      </c>
      <c r="N66" t="s">
        <v>1994</v>
      </c>
      <c r="O66" t="s">
        <v>1998</v>
      </c>
      <c r="P66" t="b">
        <v>1</v>
      </c>
      <c r="Q66" t="b">
        <v>1</v>
      </c>
      <c r="R66" t="b">
        <v>1</v>
      </c>
      <c r="S66" t="b">
        <v>1</v>
      </c>
      <c r="T66" t="b">
        <v>0</v>
      </c>
      <c r="U66" t="s">
        <v>3656</v>
      </c>
    </row>
    <row r="67" spans="1:21">
      <c r="A67" t="s">
        <v>3688</v>
      </c>
      <c r="B67" t="s">
        <v>3688</v>
      </c>
      <c r="C67" t="s">
        <v>2320</v>
      </c>
      <c r="D67" t="s">
        <v>2321</v>
      </c>
      <c r="E67" t="s">
        <v>1982</v>
      </c>
      <c r="F67" t="s">
        <v>204</v>
      </c>
      <c r="G67" t="s">
        <v>1991</v>
      </c>
      <c r="H67">
        <v>3821</v>
      </c>
      <c r="I67">
        <v>263</v>
      </c>
      <c r="J67">
        <v>1504</v>
      </c>
      <c r="K67">
        <v>4</v>
      </c>
      <c r="L67" t="s">
        <v>1992</v>
      </c>
      <c r="M67" t="s">
        <v>1993</v>
      </c>
      <c r="N67" t="s">
        <v>1994</v>
      </c>
      <c r="O67" t="s">
        <v>2294</v>
      </c>
      <c r="P67" t="b">
        <v>1</v>
      </c>
      <c r="Q67" t="b">
        <v>1</v>
      </c>
      <c r="R67" t="b">
        <v>1</v>
      </c>
      <c r="S67" t="b">
        <v>1</v>
      </c>
      <c r="T67" t="b">
        <v>0</v>
      </c>
      <c r="U67" t="s">
        <v>3656</v>
      </c>
    </row>
    <row r="68" spans="1:21">
      <c r="A68" t="s">
        <v>3689</v>
      </c>
      <c r="B68" t="s">
        <v>3689</v>
      </c>
      <c r="C68" t="s">
        <v>2332</v>
      </c>
      <c r="D68" t="s">
        <v>2333</v>
      </c>
      <c r="E68" t="s">
        <v>1982</v>
      </c>
      <c r="F68" t="s">
        <v>204</v>
      </c>
      <c r="G68" t="s">
        <v>1991</v>
      </c>
      <c r="H68">
        <v>2513</v>
      </c>
      <c r="I68">
        <v>504</v>
      </c>
      <c r="J68">
        <v>2573</v>
      </c>
      <c r="K68">
        <v>2</v>
      </c>
      <c r="L68" t="s">
        <v>1992</v>
      </c>
      <c r="M68" t="s">
        <v>1993</v>
      </c>
      <c r="N68" t="s">
        <v>1994</v>
      </c>
      <c r="O68" t="s">
        <v>1995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 t="s">
        <v>3656</v>
      </c>
    </row>
    <row r="69" spans="1:21">
      <c r="A69" t="s">
        <v>3690</v>
      </c>
      <c r="B69" t="s">
        <v>3690</v>
      </c>
      <c r="C69" t="s">
        <v>2350</v>
      </c>
      <c r="D69" t="s">
        <v>2351</v>
      </c>
      <c r="E69" t="s">
        <v>1982</v>
      </c>
      <c r="F69" t="s">
        <v>204</v>
      </c>
      <c r="G69" t="s">
        <v>1991</v>
      </c>
      <c r="H69">
        <v>1690</v>
      </c>
      <c r="I69">
        <v>3011</v>
      </c>
      <c r="J69">
        <v>889</v>
      </c>
      <c r="K69">
        <v>2</v>
      </c>
      <c r="L69" t="s">
        <v>1992</v>
      </c>
      <c r="M69" t="s">
        <v>1993</v>
      </c>
      <c r="N69" t="s">
        <v>1994</v>
      </c>
      <c r="O69" t="s">
        <v>1995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 t="s">
        <v>3656</v>
      </c>
    </row>
    <row r="70" spans="1:21">
      <c r="A70" t="s">
        <v>3691</v>
      </c>
      <c r="B70" t="s">
        <v>3691</v>
      </c>
      <c r="C70" t="s">
        <v>2643</v>
      </c>
      <c r="D70" t="s">
        <v>2644</v>
      </c>
      <c r="E70" t="s">
        <v>1982</v>
      </c>
      <c r="F70" t="s">
        <v>204</v>
      </c>
      <c r="G70" t="s">
        <v>1991</v>
      </c>
      <c r="H70">
        <v>4343</v>
      </c>
      <c r="I70">
        <v>504</v>
      </c>
      <c r="J70">
        <v>736</v>
      </c>
      <c r="K70">
        <v>9</v>
      </c>
      <c r="L70" t="s">
        <v>1992</v>
      </c>
      <c r="M70" t="s">
        <v>1993</v>
      </c>
      <c r="N70" t="s">
        <v>1994</v>
      </c>
      <c r="O70" t="s">
        <v>2636</v>
      </c>
      <c r="P70" t="b">
        <v>1</v>
      </c>
      <c r="Q70" t="b">
        <v>1</v>
      </c>
      <c r="R70" t="b">
        <v>1</v>
      </c>
      <c r="S70" t="b">
        <v>1</v>
      </c>
      <c r="T70" t="b">
        <v>0</v>
      </c>
      <c r="U70" t="s">
        <v>3656</v>
      </c>
    </row>
    <row r="71" spans="1:21">
      <c r="A71" t="s">
        <v>3692</v>
      </c>
      <c r="B71" t="s">
        <v>3692</v>
      </c>
      <c r="C71" t="s">
        <v>2663</v>
      </c>
      <c r="D71" t="s">
        <v>2664</v>
      </c>
      <c r="E71" t="s">
        <v>1982</v>
      </c>
      <c r="F71" t="s">
        <v>204</v>
      </c>
      <c r="G71" t="s">
        <v>1991</v>
      </c>
      <c r="H71">
        <v>5306</v>
      </c>
      <c r="I71">
        <v>84</v>
      </c>
      <c r="J71">
        <v>193</v>
      </c>
      <c r="K71">
        <v>9</v>
      </c>
      <c r="L71" t="s">
        <v>1992</v>
      </c>
      <c r="M71" t="s">
        <v>1993</v>
      </c>
      <c r="N71" t="s">
        <v>1994</v>
      </c>
      <c r="O71" t="s">
        <v>31</v>
      </c>
      <c r="P71" t="b">
        <v>1</v>
      </c>
      <c r="Q71" t="b">
        <v>1</v>
      </c>
      <c r="R71" t="b">
        <v>1</v>
      </c>
      <c r="S71" t="b">
        <v>1</v>
      </c>
      <c r="T71" t="b">
        <v>0</v>
      </c>
      <c r="U71" t="s">
        <v>3656</v>
      </c>
    </row>
    <row r="72" spans="1:21">
      <c r="A72" t="s">
        <v>3693</v>
      </c>
      <c r="B72" t="s">
        <v>3693</v>
      </c>
      <c r="C72" t="s">
        <v>2663</v>
      </c>
      <c r="D72" t="s">
        <v>2664</v>
      </c>
      <c r="E72" t="s">
        <v>1982</v>
      </c>
      <c r="F72" t="s">
        <v>204</v>
      </c>
      <c r="G72" t="s">
        <v>1991</v>
      </c>
      <c r="H72">
        <v>5289</v>
      </c>
      <c r="I72">
        <v>82</v>
      </c>
      <c r="J72">
        <v>213</v>
      </c>
      <c r="K72">
        <v>8</v>
      </c>
      <c r="L72" t="s">
        <v>1992</v>
      </c>
      <c r="M72" t="s">
        <v>1993</v>
      </c>
      <c r="N72" t="s">
        <v>1994</v>
      </c>
      <c r="O72" t="s">
        <v>31</v>
      </c>
      <c r="P72" t="b">
        <v>1</v>
      </c>
      <c r="Q72" t="b">
        <v>1</v>
      </c>
      <c r="R72" t="b">
        <v>1</v>
      </c>
      <c r="S72" t="b">
        <v>1</v>
      </c>
      <c r="T72" t="b">
        <v>0</v>
      </c>
      <c r="U72" t="s">
        <v>3656</v>
      </c>
    </row>
    <row r="73" spans="1:21">
      <c r="A73" t="s">
        <v>3694</v>
      </c>
      <c r="B73" t="s">
        <v>3693</v>
      </c>
      <c r="C73" t="s">
        <v>2663</v>
      </c>
      <c r="D73" t="s">
        <v>2664</v>
      </c>
      <c r="E73" t="s">
        <v>1982</v>
      </c>
      <c r="F73" t="s">
        <v>204</v>
      </c>
      <c r="G73" t="s">
        <v>1991</v>
      </c>
      <c r="H73">
        <v>5265</v>
      </c>
      <c r="I73">
        <v>87</v>
      </c>
      <c r="J73">
        <v>231</v>
      </c>
      <c r="K73">
        <v>9</v>
      </c>
      <c r="L73" t="s">
        <v>31</v>
      </c>
      <c r="M73" t="s">
        <v>31</v>
      </c>
      <c r="N73" t="s">
        <v>31</v>
      </c>
      <c r="O73" t="s">
        <v>31</v>
      </c>
      <c r="P73" t="b">
        <v>1</v>
      </c>
      <c r="Q73" t="b">
        <v>1</v>
      </c>
      <c r="R73" t="b">
        <v>1</v>
      </c>
      <c r="S73" t="b">
        <v>1</v>
      </c>
      <c r="T73" t="b">
        <v>0</v>
      </c>
      <c r="U73" t="s">
        <v>3656</v>
      </c>
    </row>
    <row r="74" spans="1:21">
      <c r="A74" t="s">
        <v>3695</v>
      </c>
      <c r="B74" t="s">
        <v>3696</v>
      </c>
      <c r="C74" t="s">
        <v>2898</v>
      </c>
      <c r="D74" t="s">
        <v>2899</v>
      </c>
      <c r="E74" t="s">
        <v>1982</v>
      </c>
      <c r="F74" t="s">
        <v>204</v>
      </c>
      <c r="G74" t="s">
        <v>1991</v>
      </c>
      <c r="H74">
        <v>1885</v>
      </c>
      <c r="I74">
        <v>2110</v>
      </c>
      <c r="J74">
        <v>1597</v>
      </c>
      <c r="K74">
        <v>0</v>
      </c>
      <c r="L74" t="s">
        <v>1992</v>
      </c>
      <c r="M74" t="s">
        <v>1993</v>
      </c>
      <c r="N74" t="s">
        <v>1994</v>
      </c>
      <c r="O74" t="s">
        <v>2284</v>
      </c>
      <c r="P74" t="b">
        <v>1</v>
      </c>
      <c r="Q74" t="b">
        <v>1</v>
      </c>
      <c r="R74" t="b">
        <v>1</v>
      </c>
      <c r="S74" t="b">
        <v>1</v>
      </c>
      <c r="T74" t="b">
        <v>0</v>
      </c>
      <c r="U74" t="s">
        <v>3656</v>
      </c>
    </row>
    <row r="75" spans="1:21">
      <c r="A75" t="s">
        <v>3697</v>
      </c>
      <c r="B75" t="s">
        <v>3698</v>
      </c>
      <c r="C75" t="s">
        <v>2983</v>
      </c>
      <c r="D75" t="s">
        <v>2984</v>
      </c>
      <c r="E75" t="s">
        <v>1987</v>
      </c>
      <c r="F75" t="s">
        <v>204</v>
      </c>
      <c r="G75" t="s">
        <v>1991</v>
      </c>
      <c r="H75">
        <v>5386</v>
      </c>
      <c r="I75">
        <v>68</v>
      </c>
      <c r="J75">
        <v>132</v>
      </c>
      <c r="K75">
        <v>6</v>
      </c>
      <c r="L75" t="s">
        <v>1992</v>
      </c>
      <c r="M75" t="s">
        <v>1993</v>
      </c>
      <c r="N75" t="s">
        <v>1994</v>
      </c>
      <c r="O75" t="s">
        <v>31</v>
      </c>
      <c r="P75" t="b">
        <v>1</v>
      </c>
      <c r="Q75" t="b">
        <v>1</v>
      </c>
      <c r="R75" t="b">
        <v>1</v>
      </c>
      <c r="S75" t="b">
        <v>1</v>
      </c>
      <c r="T75" t="b">
        <v>0</v>
      </c>
      <c r="U75" t="s">
        <v>3656</v>
      </c>
    </row>
    <row r="76" spans="1:21">
      <c r="A76" t="s">
        <v>675</v>
      </c>
      <c r="B76" t="s">
        <v>31</v>
      </c>
      <c r="C76" t="s">
        <v>669</v>
      </c>
      <c r="D76" t="s">
        <v>670</v>
      </c>
      <c r="E76" t="s">
        <v>1987</v>
      </c>
      <c r="F76" t="s">
        <v>671</v>
      </c>
      <c r="G76" t="s">
        <v>18</v>
      </c>
      <c r="H76">
        <v>3391</v>
      </c>
      <c r="I76">
        <v>1960</v>
      </c>
      <c r="J76">
        <v>117</v>
      </c>
      <c r="K76">
        <v>124</v>
      </c>
      <c r="L76" t="s">
        <v>1992</v>
      </c>
      <c r="M76" t="s">
        <v>2012</v>
      </c>
      <c r="N76" t="s">
        <v>2013</v>
      </c>
      <c r="O76" t="s">
        <v>3009</v>
      </c>
      <c r="P76" t="b">
        <v>1</v>
      </c>
      <c r="Q76" t="b">
        <v>1</v>
      </c>
      <c r="R76" t="b">
        <v>1</v>
      </c>
      <c r="S76" t="b">
        <v>1</v>
      </c>
      <c r="T76" t="b">
        <v>0</v>
      </c>
      <c r="U76" t="s">
        <v>3656</v>
      </c>
    </row>
    <row r="77" spans="1:21">
      <c r="A77" t="s">
        <v>3362</v>
      </c>
      <c r="B77" t="s">
        <v>3362</v>
      </c>
      <c r="C77" t="s">
        <v>3363</v>
      </c>
      <c r="D77" t="s">
        <v>3364</v>
      </c>
      <c r="E77" t="s">
        <v>2025</v>
      </c>
      <c r="F77" t="s">
        <v>204</v>
      </c>
      <c r="G77" t="s">
        <v>1991</v>
      </c>
      <c r="H77">
        <v>4587</v>
      </c>
      <c r="I77">
        <v>374</v>
      </c>
      <c r="J77">
        <v>631</v>
      </c>
      <c r="K77">
        <v>0</v>
      </c>
      <c r="L77" t="s">
        <v>1992</v>
      </c>
      <c r="M77" t="s">
        <v>1993</v>
      </c>
      <c r="N77" t="s">
        <v>1994</v>
      </c>
      <c r="O77" t="s">
        <v>2011</v>
      </c>
      <c r="P77" t="b">
        <v>1</v>
      </c>
      <c r="Q77" t="b">
        <v>1</v>
      </c>
      <c r="R77" t="b">
        <v>1</v>
      </c>
      <c r="S77" t="b">
        <v>1</v>
      </c>
      <c r="T77" t="b">
        <v>0</v>
      </c>
      <c r="U77" t="s">
        <v>3656</v>
      </c>
    </row>
    <row r="78" spans="1:21">
      <c r="A78" t="s">
        <v>3699</v>
      </c>
      <c r="B78" t="s">
        <v>3699</v>
      </c>
      <c r="C78" t="s">
        <v>3363</v>
      </c>
      <c r="D78" t="s">
        <v>3364</v>
      </c>
      <c r="E78" t="s">
        <v>1982</v>
      </c>
      <c r="F78" t="s">
        <v>204</v>
      </c>
      <c r="G78" t="s">
        <v>1991</v>
      </c>
      <c r="H78">
        <v>4564</v>
      </c>
      <c r="I78">
        <v>380</v>
      </c>
      <c r="J78">
        <v>648</v>
      </c>
      <c r="K78">
        <v>0</v>
      </c>
      <c r="L78" t="s">
        <v>1992</v>
      </c>
      <c r="M78" t="s">
        <v>1993</v>
      </c>
      <c r="N78" t="s">
        <v>1994</v>
      </c>
      <c r="O78" t="s">
        <v>2011</v>
      </c>
      <c r="P78" t="b">
        <v>1</v>
      </c>
      <c r="Q78" t="b">
        <v>1</v>
      </c>
      <c r="R78" t="b">
        <v>1</v>
      </c>
      <c r="S78" t="b">
        <v>1</v>
      </c>
      <c r="T78" t="b">
        <v>0</v>
      </c>
      <c r="U78" t="s">
        <v>3656</v>
      </c>
    </row>
    <row r="79" spans="1:21">
      <c r="A79" t="s">
        <v>3700</v>
      </c>
      <c r="B79" t="s">
        <v>3700</v>
      </c>
      <c r="C79" t="s">
        <v>3363</v>
      </c>
      <c r="D79" t="s">
        <v>3364</v>
      </c>
      <c r="E79" t="s">
        <v>2025</v>
      </c>
      <c r="F79" t="s">
        <v>204</v>
      </c>
      <c r="G79" t="s">
        <v>1991</v>
      </c>
      <c r="H79">
        <v>4560</v>
      </c>
      <c r="I79">
        <v>368</v>
      </c>
      <c r="J79">
        <v>664</v>
      </c>
      <c r="K79">
        <v>0</v>
      </c>
      <c r="L79" t="s">
        <v>1992</v>
      </c>
      <c r="M79" t="s">
        <v>1993</v>
      </c>
      <c r="N79" t="s">
        <v>1994</v>
      </c>
      <c r="O79" t="s">
        <v>2011</v>
      </c>
      <c r="P79" t="b">
        <v>1</v>
      </c>
      <c r="Q79" t="b">
        <v>1</v>
      </c>
      <c r="R79" t="b">
        <v>1</v>
      </c>
      <c r="S79" t="b">
        <v>1</v>
      </c>
      <c r="T79" t="b">
        <v>0</v>
      </c>
      <c r="U79" t="s">
        <v>3656</v>
      </c>
    </row>
    <row r="80" spans="1:21">
      <c r="A80" t="s">
        <v>3701</v>
      </c>
      <c r="B80" t="s">
        <v>31</v>
      </c>
      <c r="C80" t="s">
        <v>1206</v>
      </c>
      <c r="D80" t="s">
        <v>3471</v>
      </c>
      <c r="E80" t="s">
        <v>1982</v>
      </c>
      <c r="F80" t="s">
        <v>71</v>
      </c>
      <c r="G80" t="s">
        <v>1991</v>
      </c>
      <c r="H80">
        <v>3259</v>
      </c>
      <c r="I80">
        <v>2312</v>
      </c>
      <c r="J80">
        <v>11</v>
      </c>
      <c r="K80">
        <v>10</v>
      </c>
      <c r="L80" t="s">
        <v>1992</v>
      </c>
      <c r="M80" t="s">
        <v>1993</v>
      </c>
      <c r="N80" t="s">
        <v>1994</v>
      </c>
      <c r="O80" t="s">
        <v>3460</v>
      </c>
      <c r="P80" t="b">
        <v>1</v>
      </c>
      <c r="Q80" t="b">
        <v>1</v>
      </c>
      <c r="R80" t="b">
        <v>1</v>
      </c>
      <c r="S80" t="b">
        <v>1</v>
      </c>
      <c r="T80" t="b">
        <v>0</v>
      </c>
      <c r="U80" t="s">
        <v>3656</v>
      </c>
    </row>
    <row r="81" spans="1:21">
      <c r="A81" t="s">
        <v>3702</v>
      </c>
      <c r="B81" t="s">
        <v>31</v>
      </c>
      <c r="C81" t="s">
        <v>1206</v>
      </c>
      <c r="D81" t="s">
        <v>3473</v>
      </c>
      <c r="E81" t="s">
        <v>1982</v>
      </c>
      <c r="F81" t="s">
        <v>71</v>
      </c>
      <c r="G81" t="s">
        <v>1991</v>
      </c>
      <c r="H81">
        <v>3242</v>
      </c>
      <c r="I81">
        <v>2311</v>
      </c>
      <c r="J81">
        <v>28</v>
      </c>
      <c r="K81">
        <v>11</v>
      </c>
      <c r="L81" t="s">
        <v>1992</v>
      </c>
      <c r="M81" t="s">
        <v>1993</v>
      </c>
      <c r="N81" t="s">
        <v>1994</v>
      </c>
      <c r="O81" t="s">
        <v>3460</v>
      </c>
      <c r="P81" t="b">
        <v>1</v>
      </c>
      <c r="Q81" t="b">
        <v>1</v>
      </c>
      <c r="R81" t="b">
        <v>1</v>
      </c>
      <c r="S81" t="b">
        <v>1</v>
      </c>
      <c r="T81" t="b">
        <v>0</v>
      </c>
      <c r="U81" t="s">
        <v>3656</v>
      </c>
    </row>
    <row r="82" spans="1:21">
      <c r="A82" t="s">
        <v>1269</v>
      </c>
      <c r="B82" t="s">
        <v>31</v>
      </c>
      <c r="C82" t="s">
        <v>1270</v>
      </c>
      <c r="D82" t="s">
        <v>1271</v>
      </c>
      <c r="E82" t="s">
        <v>1987</v>
      </c>
      <c r="F82" t="s">
        <v>1272</v>
      </c>
      <c r="G82" t="s">
        <v>18</v>
      </c>
      <c r="H82">
        <v>3488</v>
      </c>
      <c r="I82">
        <v>1844</v>
      </c>
      <c r="J82">
        <v>140</v>
      </c>
      <c r="K82">
        <v>120</v>
      </c>
      <c r="L82" t="s">
        <v>1992</v>
      </c>
      <c r="M82" t="s">
        <v>2012</v>
      </c>
      <c r="N82" t="s">
        <v>2013</v>
      </c>
      <c r="O82" t="s">
        <v>3009</v>
      </c>
      <c r="P82" t="b">
        <v>1</v>
      </c>
      <c r="Q82" t="b">
        <v>1</v>
      </c>
      <c r="R82" t="b">
        <v>1</v>
      </c>
      <c r="S82" t="b">
        <v>1</v>
      </c>
      <c r="T82" t="b">
        <v>0</v>
      </c>
      <c r="U82" t="s">
        <v>3656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875"/>
  <sheetViews>
    <sheetView workbookViewId="0">
      <pane ySplit="1" topLeftCell="A61" activePane="bottomLeft" state="frozen"/>
      <selection pane="bottomLeft" activeCell="F23" sqref="F23"/>
    </sheetView>
  </sheetViews>
  <sheetFormatPr baseColWidth="10" defaultColWidth="12.6640625" defaultRowHeight="15.75" customHeight="1"/>
  <cols>
    <col min="1" max="1" width="21" customWidth="1"/>
    <col min="2" max="2" width="22.6640625" customWidth="1"/>
    <col min="3" max="3" width="20.6640625" customWidth="1"/>
    <col min="4" max="4" width="21" customWidth="1"/>
    <col min="5" max="5" width="18.83203125" customWidth="1"/>
    <col min="6" max="6" width="34.6640625" customWidth="1"/>
    <col min="8" max="9" width="12.6640625" hidden="1"/>
    <col min="10" max="10" width="32.5" customWidth="1"/>
  </cols>
  <sheetData>
    <row r="1" spans="1:2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3"/>
      <c r="N1" s="3"/>
      <c r="O1" s="3"/>
      <c r="P1" s="3"/>
      <c r="Q1" s="3"/>
      <c r="R1" s="3"/>
      <c r="S1" s="3"/>
      <c r="T1" s="3"/>
      <c r="U1" s="3"/>
    </row>
    <row r="2" spans="1:21" ht="16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/>
      <c r="H2" s="4" t="s">
        <v>17</v>
      </c>
      <c r="I2" s="4" t="s">
        <v>18</v>
      </c>
      <c r="J2" s="6" t="str">
        <f t="shared" ref="J2:J29" si="0">"https://www.ncbi.nlm.nih.gov/datasets/genome/" &amp; A2</f>
        <v>https://www.ncbi.nlm.nih.gov/datasets/genome/GCA_021605145.1</v>
      </c>
      <c r="K2" s="7" t="s">
        <v>19</v>
      </c>
      <c r="L2" s="4"/>
      <c r="M2" s="8"/>
      <c r="N2" s="8"/>
      <c r="O2" s="8"/>
      <c r="P2" s="8"/>
      <c r="Q2" s="8"/>
      <c r="R2" s="8"/>
      <c r="S2" s="8"/>
      <c r="T2" s="8"/>
      <c r="U2" s="8"/>
    </row>
    <row r="3" spans="1:21" ht="16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5"/>
      <c r="H3" s="4" t="s">
        <v>17</v>
      </c>
      <c r="I3" s="4" t="s">
        <v>18</v>
      </c>
      <c r="J3" s="6" t="str">
        <f t="shared" si="0"/>
        <v>https://www.ncbi.nlm.nih.gov/datasets/genome/GCA_021605205.1</v>
      </c>
      <c r="K3" s="7" t="s">
        <v>26</v>
      </c>
      <c r="L3" s="4"/>
      <c r="M3" s="8"/>
      <c r="N3" s="8"/>
      <c r="O3" s="8"/>
      <c r="P3" s="8"/>
      <c r="Q3" s="8"/>
      <c r="R3" s="8"/>
      <c r="S3" s="8"/>
      <c r="T3" s="8"/>
      <c r="U3" s="8"/>
    </row>
    <row r="4" spans="1:21" ht="16">
      <c r="A4" s="4" t="s">
        <v>27</v>
      </c>
      <c r="B4" s="4" t="s">
        <v>28</v>
      </c>
      <c r="C4" s="4" t="s">
        <v>29</v>
      </c>
      <c r="D4" s="4" t="s">
        <v>30</v>
      </c>
      <c r="E4" s="4" t="s">
        <v>24</v>
      </c>
      <c r="F4" s="4"/>
      <c r="G4" s="5"/>
      <c r="H4" s="4" t="s">
        <v>31</v>
      </c>
      <c r="I4" s="4" t="s">
        <v>18</v>
      </c>
      <c r="J4" s="6" t="str">
        <f t="shared" si="0"/>
        <v>https://www.ncbi.nlm.nih.gov/datasets/genome/GCA_904067125.1</v>
      </c>
      <c r="K4" s="7" t="s">
        <v>32</v>
      </c>
      <c r="L4" s="4"/>
      <c r="M4" s="8"/>
      <c r="N4" s="8"/>
      <c r="O4" s="8"/>
      <c r="P4" s="8"/>
      <c r="Q4" s="8"/>
      <c r="R4" s="8"/>
      <c r="S4" s="8"/>
      <c r="T4" s="8"/>
      <c r="U4" s="8"/>
    </row>
    <row r="5" spans="1:21" ht="16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5"/>
      <c r="H5" s="4" t="s">
        <v>17</v>
      </c>
      <c r="I5" s="4" t="s">
        <v>18</v>
      </c>
      <c r="J5" s="6" t="str">
        <f t="shared" si="0"/>
        <v>https://www.ncbi.nlm.nih.gov/datasets/genome/GCA_021605185.1</v>
      </c>
      <c r="K5" s="7" t="s">
        <v>39</v>
      </c>
      <c r="L5" s="4"/>
      <c r="M5" s="8"/>
      <c r="N5" s="8"/>
      <c r="O5" s="8"/>
      <c r="P5" s="8"/>
      <c r="Q5" s="8"/>
      <c r="R5" s="8"/>
      <c r="S5" s="8"/>
      <c r="T5" s="8"/>
      <c r="U5" s="8"/>
    </row>
    <row r="6" spans="1:21" ht="16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/>
      <c r="G6" s="5"/>
      <c r="H6" s="4" t="s">
        <v>31</v>
      </c>
      <c r="I6" s="4" t="s">
        <v>18</v>
      </c>
      <c r="J6" s="6" t="str">
        <f t="shared" si="0"/>
        <v>https://www.ncbi.nlm.nih.gov/datasets/genome/GCA_904067115.1</v>
      </c>
      <c r="K6" s="7" t="s">
        <v>45</v>
      </c>
      <c r="L6" s="4"/>
      <c r="M6" s="8"/>
      <c r="N6" s="8"/>
      <c r="O6" s="8"/>
      <c r="P6" s="8"/>
      <c r="Q6" s="8"/>
      <c r="R6" s="8"/>
      <c r="S6" s="8"/>
      <c r="T6" s="8"/>
      <c r="U6" s="8"/>
    </row>
    <row r="7" spans="1:21" ht="16">
      <c r="A7" s="4" t="s">
        <v>46</v>
      </c>
      <c r="B7" s="4" t="s">
        <v>47</v>
      </c>
      <c r="C7" s="4" t="s">
        <v>48</v>
      </c>
      <c r="D7" s="4" t="s">
        <v>49</v>
      </c>
      <c r="E7" s="4" t="s">
        <v>44</v>
      </c>
      <c r="F7" s="4" t="s">
        <v>50</v>
      </c>
      <c r="G7" s="5"/>
      <c r="H7" s="4" t="s">
        <v>17</v>
      </c>
      <c r="I7" s="4" t="s">
        <v>18</v>
      </c>
      <c r="J7" s="6" t="str">
        <f t="shared" si="0"/>
        <v>https://www.ncbi.nlm.nih.gov/datasets/genome/GCA_021641835.1</v>
      </c>
      <c r="K7" s="7" t="s">
        <v>51</v>
      </c>
      <c r="L7" s="4"/>
      <c r="M7" s="8"/>
      <c r="N7" s="8"/>
      <c r="O7" s="8"/>
      <c r="P7" s="8"/>
      <c r="Q7" s="8"/>
      <c r="R7" s="8"/>
      <c r="S7" s="8"/>
      <c r="T7" s="8"/>
      <c r="U7" s="8"/>
    </row>
    <row r="8" spans="1:21" ht="16">
      <c r="A8" s="4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5"/>
      <c r="H8" s="4" t="s">
        <v>17</v>
      </c>
      <c r="I8" s="4" t="s">
        <v>18</v>
      </c>
      <c r="J8" s="6" t="str">
        <f t="shared" si="0"/>
        <v>https://www.ncbi.nlm.nih.gov/datasets/genome/GCA_021437245.1</v>
      </c>
      <c r="K8" s="7" t="s">
        <v>58</v>
      </c>
      <c r="L8" s="4"/>
      <c r="M8" s="8"/>
      <c r="N8" s="8"/>
      <c r="O8" s="8"/>
      <c r="P8" s="8"/>
      <c r="Q8" s="8"/>
      <c r="R8" s="8"/>
      <c r="S8" s="8"/>
      <c r="T8" s="8"/>
      <c r="U8" s="8"/>
    </row>
    <row r="9" spans="1:21" ht="16">
      <c r="A9" s="4" t="s">
        <v>59</v>
      </c>
      <c r="B9" s="4" t="s">
        <v>60</v>
      </c>
      <c r="C9" s="4" t="s">
        <v>61</v>
      </c>
      <c r="D9" s="4" t="s">
        <v>62</v>
      </c>
      <c r="E9" s="4" t="s">
        <v>56</v>
      </c>
      <c r="F9" s="4" t="s">
        <v>63</v>
      </c>
      <c r="G9" s="5"/>
      <c r="H9" s="4" t="s">
        <v>31</v>
      </c>
      <c r="I9" s="4" t="s">
        <v>18</v>
      </c>
      <c r="J9" s="6" t="str">
        <f t="shared" si="0"/>
        <v>https://www.ncbi.nlm.nih.gov/datasets/genome/GCA_944222845.1</v>
      </c>
      <c r="K9" s="7" t="s">
        <v>64</v>
      </c>
      <c r="L9" s="4"/>
      <c r="M9" s="8"/>
      <c r="N9" s="8"/>
      <c r="O9" s="8"/>
      <c r="P9" s="8"/>
      <c r="Q9" s="8"/>
      <c r="R9" s="8"/>
      <c r="S9" s="8"/>
      <c r="T9" s="8"/>
      <c r="U9" s="8"/>
    </row>
    <row r="10" spans="1:21" ht="16">
      <c r="A10" s="4" t="s">
        <v>65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5"/>
      <c r="H10" s="4" t="s">
        <v>71</v>
      </c>
      <c r="I10" s="4" t="s">
        <v>18</v>
      </c>
      <c r="J10" s="6" t="str">
        <f t="shared" si="0"/>
        <v>https://www.ncbi.nlm.nih.gov/datasets/genome/GCA_002575655.2</v>
      </c>
      <c r="K10" s="7" t="s">
        <v>72</v>
      </c>
      <c r="L10" s="4"/>
      <c r="M10" s="8"/>
      <c r="N10" s="8"/>
      <c r="O10" s="8"/>
      <c r="P10" s="8"/>
      <c r="Q10" s="8"/>
      <c r="R10" s="8"/>
      <c r="S10" s="8"/>
      <c r="T10" s="8"/>
      <c r="U10" s="8"/>
    </row>
    <row r="11" spans="1:21" ht="16">
      <c r="A11" s="4" t="s">
        <v>73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5"/>
      <c r="H11" s="4" t="s">
        <v>79</v>
      </c>
      <c r="I11" s="4" t="s">
        <v>18</v>
      </c>
      <c r="J11" s="6" t="str">
        <f t="shared" si="0"/>
        <v>https://www.ncbi.nlm.nih.gov/datasets/genome/GCA_032464435.1</v>
      </c>
      <c r="K11" s="7" t="s">
        <v>80</v>
      </c>
      <c r="L11" s="4"/>
      <c r="M11" s="8"/>
      <c r="N11" s="8"/>
      <c r="O11" s="8"/>
      <c r="P11" s="8"/>
      <c r="Q11" s="8"/>
      <c r="R11" s="8"/>
      <c r="S11" s="8"/>
      <c r="T11" s="8"/>
      <c r="U11" s="8"/>
    </row>
    <row r="12" spans="1:21" ht="16">
      <c r="A12" s="4" t="s">
        <v>81</v>
      </c>
      <c r="B12" s="4" t="s">
        <v>82</v>
      </c>
      <c r="C12" s="4" t="s">
        <v>83</v>
      </c>
      <c r="D12" s="4" t="s">
        <v>84</v>
      </c>
      <c r="E12" s="4" t="s">
        <v>85</v>
      </c>
      <c r="F12" s="4" t="s">
        <v>86</v>
      </c>
      <c r="G12" s="5"/>
      <c r="H12" s="4" t="s">
        <v>87</v>
      </c>
      <c r="I12" s="4" t="s">
        <v>18</v>
      </c>
      <c r="J12" s="6" t="str">
        <f t="shared" si="0"/>
        <v>https://www.ncbi.nlm.nih.gov/datasets/genome/GCA_004135705.1</v>
      </c>
      <c r="K12" s="7" t="s">
        <v>88</v>
      </c>
      <c r="L12" s="4"/>
      <c r="M12" s="8"/>
      <c r="N12" s="8"/>
      <c r="O12" s="8"/>
      <c r="P12" s="8"/>
      <c r="Q12" s="8"/>
      <c r="R12" s="8"/>
      <c r="S12" s="8"/>
      <c r="T12" s="8"/>
      <c r="U12" s="8"/>
    </row>
    <row r="13" spans="1:21" ht="16">
      <c r="A13" s="4" t="s">
        <v>89</v>
      </c>
      <c r="B13" s="4" t="s">
        <v>90</v>
      </c>
      <c r="C13" s="4" t="s">
        <v>91</v>
      </c>
      <c r="D13" s="4" t="s">
        <v>92</v>
      </c>
      <c r="E13" s="4" t="s">
        <v>85</v>
      </c>
      <c r="F13" s="4" t="s">
        <v>93</v>
      </c>
      <c r="G13" s="5"/>
      <c r="H13" s="4" t="s">
        <v>87</v>
      </c>
      <c r="I13" s="4" t="s">
        <v>18</v>
      </c>
      <c r="J13" s="6" t="str">
        <f t="shared" si="0"/>
        <v>https://www.ncbi.nlm.nih.gov/datasets/genome/GCA_036785585.1</v>
      </c>
      <c r="K13" s="7" t="s">
        <v>94</v>
      </c>
      <c r="L13" s="4"/>
      <c r="M13" s="8"/>
      <c r="N13" s="8"/>
      <c r="O13" s="8"/>
      <c r="P13" s="8"/>
      <c r="Q13" s="8"/>
      <c r="R13" s="8"/>
      <c r="S13" s="8"/>
      <c r="T13" s="8"/>
      <c r="U13" s="8"/>
    </row>
    <row r="14" spans="1:21" ht="16">
      <c r="A14" s="4" t="s">
        <v>95</v>
      </c>
      <c r="B14" s="4" t="s">
        <v>96</v>
      </c>
      <c r="C14" s="4" t="s">
        <v>97</v>
      </c>
      <c r="D14" s="4" t="s">
        <v>98</v>
      </c>
      <c r="E14" s="4" t="s">
        <v>85</v>
      </c>
      <c r="F14" s="4" t="s">
        <v>99</v>
      </c>
      <c r="G14" s="5"/>
      <c r="H14" s="4" t="s">
        <v>87</v>
      </c>
      <c r="I14" s="4" t="s">
        <v>18</v>
      </c>
      <c r="J14" s="6" t="str">
        <f t="shared" si="0"/>
        <v>https://www.ncbi.nlm.nih.gov/datasets/genome/GCA_036972165.1</v>
      </c>
      <c r="K14" s="7" t="s">
        <v>100</v>
      </c>
      <c r="L14" s="4"/>
      <c r="M14" s="8"/>
      <c r="N14" s="8"/>
      <c r="O14" s="8"/>
      <c r="P14" s="8"/>
      <c r="Q14" s="8"/>
      <c r="R14" s="8"/>
      <c r="S14" s="8"/>
      <c r="T14" s="8"/>
      <c r="U14" s="8"/>
    </row>
    <row r="15" spans="1:21" ht="16">
      <c r="A15" s="4" t="s">
        <v>101</v>
      </c>
      <c r="B15" s="4" t="s">
        <v>102</v>
      </c>
      <c r="C15" s="4" t="s">
        <v>103</v>
      </c>
      <c r="D15" s="4" t="s">
        <v>104</v>
      </c>
      <c r="E15" s="4" t="s">
        <v>85</v>
      </c>
      <c r="F15" s="4" t="s">
        <v>104</v>
      </c>
      <c r="G15" s="5"/>
      <c r="H15" s="4" t="s">
        <v>87</v>
      </c>
      <c r="I15" s="4" t="s">
        <v>18</v>
      </c>
      <c r="J15" s="6" t="str">
        <f t="shared" si="0"/>
        <v>https://www.ncbi.nlm.nih.gov/datasets/genome/GCA_036785565.1</v>
      </c>
      <c r="K15" s="7" t="s">
        <v>105</v>
      </c>
      <c r="L15" s="4"/>
      <c r="M15" s="8"/>
      <c r="N15" s="8"/>
      <c r="O15" s="8"/>
      <c r="P15" s="8"/>
      <c r="Q15" s="8"/>
      <c r="R15" s="8"/>
      <c r="S15" s="8"/>
      <c r="T15" s="8"/>
      <c r="U15" s="8"/>
    </row>
    <row r="16" spans="1:21" ht="16">
      <c r="A16" s="4" t="s">
        <v>106</v>
      </c>
      <c r="B16" s="4" t="s">
        <v>107</v>
      </c>
      <c r="C16" s="4" t="s">
        <v>108</v>
      </c>
      <c r="D16" s="4" t="s">
        <v>109</v>
      </c>
      <c r="E16" s="4" t="s">
        <v>110</v>
      </c>
      <c r="F16" s="4" t="s">
        <v>111</v>
      </c>
      <c r="G16" s="5"/>
      <c r="H16" s="4" t="s">
        <v>79</v>
      </c>
      <c r="I16" s="4" t="s">
        <v>18</v>
      </c>
      <c r="J16" s="6" t="str">
        <f t="shared" si="0"/>
        <v>https://www.ncbi.nlm.nih.gov/datasets/genome/GCA_028641055.1</v>
      </c>
      <c r="K16" s="7" t="s">
        <v>112</v>
      </c>
      <c r="L16" s="4"/>
      <c r="M16" s="8"/>
      <c r="N16" s="8"/>
      <c r="O16" s="8"/>
      <c r="P16" s="8"/>
      <c r="Q16" s="8"/>
      <c r="R16" s="8"/>
      <c r="S16" s="8"/>
      <c r="T16" s="8"/>
      <c r="U16" s="8"/>
    </row>
    <row r="17" spans="1:21" ht="16">
      <c r="A17" s="4" t="s">
        <v>113</v>
      </c>
      <c r="B17" s="4" t="s">
        <v>114</v>
      </c>
      <c r="C17" s="4" t="s">
        <v>115</v>
      </c>
      <c r="D17" s="4" t="s">
        <v>116</v>
      </c>
      <c r="E17" s="4" t="s">
        <v>110</v>
      </c>
      <c r="F17" s="4"/>
      <c r="G17" s="5"/>
      <c r="H17" s="4" t="s">
        <v>117</v>
      </c>
      <c r="I17" s="4" t="s">
        <v>18</v>
      </c>
      <c r="J17" s="6" t="str">
        <f t="shared" si="0"/>
        <v>https://www.ncbi.nlm.nih.gov/datasets/genome/GCA_949204735.1</v>
      </c>
      <c r="K17" s="7" t="s">
        <v>118</v>
      </c>
      <c r="L17" s="4"/>
      <c r="M17" s="8"/>
      <c r="N17" s="8"/>
      <c r="O17" s="8"/>
      <c r="P17" s="8"/>
      <c r="Q17" s="8"/>
      <c r="R17" s="8"/>
      <c r="S17" s="8"/>
      <c r="T17" s="8"/>
      <c r="U17" s="8"/>
    </row>
    <row r="18" spans="1:21" ht="16">
      <c r="A18" s="4" t="s">
        <v>119</v>
      </c>
      <c r="B18" s="4" t="s">
        <v>120</v>
      </c>
      <c r="C18" s="4" t="s">
        <v>121</v>
      </c>
      <c r="D18" s="4" t="s">
        <v>122</v>
      </c>
      <c r="E18" s="4" t="s">
        <v>123</v>
      </c>
      <c r="F18" s="4" t="s">
        <v>124</v>
      </c>
      <c r="G18" s="5"/>
      <c r="H18" s="4" t="s">
        <v>17</v>
      </c>
      <c r="I18" s="4" t="s">
        <v>18</v>
      </c>
      <c r="J18" s="6" t="str">
        <f t="shared" si="0"/>
        <v>https://www.ncbi.nlm.nih.gov/datasets/genome/GCA_036346255.1</v>
      </c>
      <c r="K18" s="9" t="s">
        <v>125</v>
      </c>
      <c r="L18" s="4"/>
      <c r="M18" s="8"/>
      <c r="N18" s="8"/>
      <c r="O18" s="8"/>
      <c r="P18" s="8"/>
      <c r="Q18" s="8"/>
      <c r="R18" s="8"/>
      <c r="S18" s="8"/>
      <c r="T18" s="8"/>
      <c r="U18" s="8"/>
    </row>
    <row r="19" spans="1:21" ht="16">
      <c r="A19" s="4" t="s">
        <v>126</v>
      </c>
      <c r="B19" s="4" t="s">
        <v>127</v>
      </c>
      <c r="C19" s="4" t="s">
        <v>128</v>
      </c>
      <c r="D19" s="4" t="s">
        <v>129</v>
      </c>
      <c r="E19" s="4" t="s">
        <v>130</v>
      </c>
      <c r="F19" s="4" t="s">
        <v>131</v>
      </c>
      <c r="G19" s="5"/>
      <c r="H19" s="4" t="s">
        <v>31</v>
      </c>
      <c r="I19" s="4" t="s">
        <v>18</v>
      </c>
      <c r="J19" s="6" t="str">
        <f t="shared" si="0"/>
        <v>https://www.ncbi.nlm.nih.gov/datasets/genome/GCA_910589765.1</v>
      </c>
      <c r="K19" s="7" t="s">
        <v>132</v>
      </c>
      <c r="L19" s="4"/>
      <c r="M19" s="8"/>
      <c r="N19" s="8"/>
      <c r="O19" s="8"/>
      <c r="P19" s="8"/>
      <c r="Q19" s="8"/>
      <c r="R19" s="8"/>
      <c r="S19" s="8"/>
      <c r="T19" s="8"/>
      <c r="U19" s="8"/>
    </row>
    <row r="20" spans="1:21" ht="16">
      <c r="A20" s="4" t="s">
        <v>133</v>
      </c>
      <c r="B20" s="4" t="s">
        <v>134</v>
      </c>
      <c r="C20" s="4" t="s">
        <v>135</v>
      </c>
      <c r="D20" s="4" t="s">
        <v>136</v>
      </c>
      <c r="E20" s="4" t="s">
        <v>137</v>
      </c>
      <c r="F20" s="4" t="s">
        <v>138</v>
      </c>
      <c r="G20" s="5"/>
      <c r="H20" s="4" t="s">
        <v>31</v>
      </c>
      <c r="I20" s="4" t="s">
        <v>18</v>
      </c>
      <c r="J20" s="6" t="str">
        <f t="shared" si="0"/>
        <v>https://www.ncbi.nlm.nih.gov/datasets/genome/GCA_910589775.1</v>
      </c>
      <c r="K20" s="7" t="s">
        <v>139</v>
      </c>
      <c r="L20" s="4"/>
      <c r="M20" s="8"/>
      <c r="N20" s="8"/>
      <c r="O20" s="8"/>
      <c r="P20" s="8"/>
      <c r="Q20" s="8"/>
      <c r="R20" s="8"/>
      <c r="S20" s="8"/>
      <c r="T20" s="8"/>
      <c r="U20" s="8"/>
    </row>
    <row r="21" spans="1:21" ht="16">
      <c r="A21" s="4" t="s">
        <v>140</v>
      </c>
      <c r="B21" s="4" t="s">
        <v>141</v>
      </c>
      <c r="C21" s="4" t="s">
        <v>142</v>
      </c>
      <c r="D21" s="4" t="s">
        <v>143</v>
      </c>
      <c r="E21" s="4" t="s">
        <v>144</v>
      </c>
      <c r="F21" s="4" t="s">
        <v>145</v>
      </c>
      <c r="G21" s="5"/>
      <c r="H21" s="4" t="s">
        <v>146</v>
      </c>
      <c r="I21" s="4" t="s">
        <v>18</v>
      </c>
      <c r="J21" s="6" t="str">
        <f t="shared" si="0"/>
        <v>https://www.ncbi.nlm.nih.gov/datasets/genome/GCA_023614405.1</v>
      </c>
      <c r="K21" s="9" t="s">
        <v>147</v>
      </c>
      <c r="L21" s="4"/>
      <c r="M21" s="8"/>
      <c r="N21" s="8"/>
      <c r="O21" s="8"/>
      <c r="P21" s="8"/>
      <c r="Q21" s="8"/>
      <c r="R21" s="8"/>
      <c r="S21" s="8"/>
      <c r="T21" s="8"/>
      <c r="U21" s="8"/>
    </row>
    <row r="22" spans="1:21" ht="16">
      <c r="A22" s="4" t="s">
        <v>148</v>
      </c>
      <c r="B22" s="4" t="s">
        <v>149</v>
      </c>
      <c r="C22" s="4" t="s">
        <v>150</v>
      </c>
      <c r="D22" s="4" t="s">
        <v>151</v>
      </c>
      <c r="E22" s="4" t="s">
        <v>144</v>
      </c>
      <c r="F22" s="4"/>
      <c r="G22" s="5"/>
      <c r="H22" s="4" t="s">
        <v>31</v>
      </c>
      <c r="I22" s="4" t="s">
        <v>18</v>
      </c>
      <c r="J22" s="6" t="str">
        <f t="shared" si="0"/>
        <v>https://www.ncbi.nlm.nih.gov/datasets/genome/GCA_910574615.1</v>
      </c>
      <c r="K22" s="9" t="s">
        <v>152</v>
      </c>
      <c r="L22" s="4"/>
      <c r="M22" s="8"/>
      <c r="N22" s="8"/>
      <c r="O22" s="8"/>
      <c r="P22" s="8"/>
      <c r="Q22" s="8"/>
      <c r="R22" s="8"/>
      <c r="S22" s="8"/>
      <c r="T22" s="8"/>
      <c r="U22" s="8"/>
    </row>
    <row r="23" spans="1:21" ht="16">
      <c r="A23" s="4" t="s">
        <v>153</v>
      </c>
      <c r="B23" s="4" t="s">
        <v>154</v>
      </c>
      <c r="C23" s="4" t="s">
        <v>155</v>
      </c>
      <c r="D23" s="4" t="s">
        <v>156</v>
      </c>
      <c r="E23" s="4" t="s">
        <v>157</v>
      </c>
      <c r="F23" s="10">
        <v>447</v>
      </c>
      <c r="G23" s="5"/>
      <c r="H23" s="4" t="s">
        <v>158</v>
      </c>
      <c r="I23" s="4" t="s">
        <v>18</v>
      </c>
      <c r="J23" s="6" t="str">
        <f t="shared" si="0"/>
        <v>https://www.ncbi.nlm.nih.gov/datasets/genome/GCA_030063025.1</v>
      </c>
      <c r="K23" s="7" t="s">
        <v>159</v>
      </c>
      <c r="L23" s="4"/>
      <c r="M23" s="8"/>
      <c r="N23" s="8"/>
      <c r="O23" s="8"/>
      <c r="P23" s="8"/>
      <c r="Q23" s="8"/>
      <c r="R23" s="8"/>
      <c r="S23" s="8"/>
      <c r="T23" s="8"/>
      <c r="U23" s="8"/>
    </row>
    <row r="24" spans="1:21" ht="16">
      <c r="A24" s="4" t="s">
        <v>160</v>
      </c>
      <c r="B24" s="4" t="s">
        <v>161</v>
      </c>
      <c r="C24" s="4" t="s">
        <v>162</v>
      </c>
      <c r="D24" s="4" t="s">
        <v>163</v>
      </c>
      <c r="E24" s="4" t="s">
        <v>157</v>
      </c>
      <c r="F24" s="4" t="s">
        <v>164</v>
      </c>
      <c r="G24" s="5"/>
      <c r="H24" s="4" t="s">
        <v>31</v>
      </c>
      <c r="I24" s="4" t="s">
        <v>18</v>
      </c>
      <c r="J24" s="6" t="str">
        <f t="shared" si="0"/>
        <v>https://www.ncbi.nlm.nih.gov/datasets/genome/GCA_910589755.1</v>
      </c>
      <c r="K24" s="9" t="s">
        <v>165</v>
      </c>
      <c r="L24" s="4"/>
      <c r="M24" s="8"/>
      <c r="N24" s="8"/>
      <c r="O24" s="8"/>
      <c r="P24" s="8"/>
      <c r="Q24" s="8"/>
      <c r="R24" s="8"/>
      <c r="S24" s="8"/>
      <c r="T24" s="8"/>
      <c r="U24" s="8"/>
    </row>
    <row r="25" spans="1:21" ht="16">
      <c r="A25" s="4" t="s">
        <v>166</v>
      </c>
      <c r="B25" s="4" t="s">
        <v>167</v>
      </c>
      <c r="C25" s="4" t="s">
        <v>168</v>
      </c>
      <c r="D25" s="4" t="s">
        <v>169</v>
      </c>
      <c r="E25" s="4" t="s">
        <v>170</v>
      </c>
      <c r="F25" s="4"/>
      <c r="G25" s="5" t="s">
        <v>171</v>
      </c>
      <c r="H25" s="4" t="s">
        <v>31</v>
      </c>
      <c r="I25" s="4" t="s">
        <v>18</v>
      </c>
      <c r="J25" s="6" t="str">
        <f t="shared" si="0"/>
        <v>https://www.ncbi.nlm.nih.gov/datasets/genome/GCA_916181665.1</v>
      </c>
      <c r="K25" s="11" t="s">
        <v>172</v>
      </c>
      <c r="L25" s="4"/>
      <c r="M25" s="8"/>
      <c r="N25" s="8"/>
      <c r="O25" s="8"/>
      <c r="P25" s="8"/>
      <c r="Q25" s="8"/>
      <c r="R25" s="8"/>
      <c r="S25" s="8"/>
      <c r="T25" s="8"/>
      <c r="U25" s="8"/>
    </row>
    <row r="26" spans="1:21" ht="34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170</v>
      </c>
      <c r="F26" s="4" t="s">
        <v>177</v>
      </c>
      <c r="G26" s="5"/>
      <c r="H26" s="4" t="s">
        <v>146</v>
      </c>
      <c r="I26" s="4" t="s">
        <v>18</v>
      </c>
      <c r="J26" s="6" t="str">
        <f t="shared" si="0"/>
        <v>https://www.ncbi.nlm.nih.gov/datasets/genome/GCA_023646675.1</v>
      </c>
      <c r="K26" s="12" t="s">
        <v>178</v>
      </c>
      <c r="L26" s="4"/>
      <c r="M26" s="8"/>
      <c r="N26" s="8"/>
      <c r="O26" s="8"/>
      <c r="P26" s="8"/>
      <c r="Q26" s="8"/>
      <c r="R26" s="8"/>
      <c r="S26" s="8"/>
      <c r="T26" s="8"/>
      <c r="U26" s="8"/>
    </row>
    <row r="27" spans="1:21" ht="16">
      <c r="A27" s="4" t="s">
        <v>179</v>
      </c>
      <c r="B27" s="4" t="s">
        <v>180</v>
      </c>
      <c r="C27" s="4" t="s">
        <v>181</v>
      </c>
      <c r="D27" s="4" t="s">
        <v>182</v>
      </c>
      <c r="E27" s="4" t="s">
        <v>170</v>
      </c>
      <c r="F27" s="4" t="s">
        <v>183</v>
      </c>
      <c r="G27" s="5"/>
      <c r="H27" s="4" t="s">
        <v>31</v>
      </c>
      <c r="I27" s="4" t="s">
        <v>18</v>
      </c>
      <c r="J27" s="6" t="str">
        <f t="shared" si="0"/>
        <v>https://www.ncbi.nlm.nih.gov/datasets/genome/GCA_910574605.1</v>
      </c>
      <c r="K27" s="7" t="s">
        <v>184</v>
      </c>
      <c r="L27" s="4"/>
      <c r="M27" s="8"/>
      <c r="N27" s="8"/>
      <c r="O27" s="8"/>
      <c r="P27" s="8"/>
      <c r="Q27" s="8"/>
      <c r="R27" s="8"/>
      <c r="S27" s="8"/>
      <c r="T27" s="8"/>
      <c r="U27" s="8"/>
    </row>
    <row r="28" spans="1:21" ht="16">
      <c r="A28" s="4" t="s">
        <v>185</v>
      </c>
      <c r="B28" s="4" t="s">
        <v>186</v>
      </c>
      <c r="C28" s="4" t="s">
        <v>187</v>
      </c>
      <c r="D28" s="4" t="s">
        <v>188</v>
      </c>
      <c r="E28" s="4" t="s">
        <v>189</v>
      </c>
      <c r="F28" s="4" t="s">
        <v>190</v>
      </c>
      <c r="G28" s="5"/>
      <c r="H28" s="4" t="s">
        <v>17</v>
      </c>
      <c r="I28" s="4" t="s">
        <v>18</v>
      </c>
      <c r="J28" s="6" t="str">
        <f t="shared" si="0"/>
        <v>https://www.ncbi.nlm.nih.gov/datasets/genome/GCA_036346245.1</v>
      </c>
      <c r="K28" s="9" t="s">
        <v>125</v>
      </c>
      <c r="L28" s="4"/>
      <c r="M28" s="8"/>
      <c r="N28" s="8"/>
      <c r="O28" s="8"/>
      <c r="P28" s="8"/>
      <c r="Q28" s="8"/>
      <c r="R28" s="8"/>
      <c r="S28" s="8"/>
      <c r="T28" s="8"/>
      <c r="U28" s="8"/>
    </row>
    <row r="29" spans="1:21" ht="51">
      <c r="A29" s="4" t="s">
        <v>191</v>
      </c>
      <c r="B29" s="4" t="s">
        <v>192</v>
      </c>
      <c r="C29" s="4" t="s">
        <v>193</v>
      </c>
      <c r="D29" s="4" t="s">
        <v>194</v>
      </c>
      <c r="E29" s="4" t="s">
        <v>195</v>
      </c>
      <c r="F29" s="4" t="s">
        <v>196</v>
      </c>
      <c r="G29" s="5"/>
      <c r="H29" s="4" t="s">
        <v>197</v>
      </c>
      <c r="I29" s="4" t="s">
        <v>18</v>
      </c>
      <c r="J29" s="6" t="str">
        <f t="shared" si="0"/>
        <v>https://www.ncbi.nlm.nih.gov/datasets/genome/GCA_023333625.1</v>
      </c>
      <c r="K29" s="12" t="s">
        <v>198</v>
      </c>
      <c r="L29" s="4"/>
      <c r="M29" s="8"/>
      <c r="N29" s="8"/>
      <c r="O29" s="8"/>
      <c r="P29" s="8"/>
      <c r="Q29" s="8"/>
      <c r="R29" s="8"/>
      <c r="S29" s="8"/>
      <c r="T29" s="8"/>
      <c r="U29" s="8"/>
    </row>
    <row r="30" spans="1:21" ht="16">
      <c r="A30" s="13"/>
      <c r="B30" s="11" t="s">
        <v>199</v>
      </c>
      <c r="C30" s="11" t="s">
        <v>199</v>
      </c>
      <c r="D30" s="11" t="s">
        <v>200</v>
      </c>
      <c r="E30" s="11" t="s">
        <v>201</v>
      </c>
      <c r="F30" s="4" t="s">
        <v>202</v>
      </c>
      <c r="G30" s="5" t="s">
        <v>203</v>
      </c>
      <c r="H30" s="4" t="s">
        <v>204</v>
      </c>
      <c r="I30" s="4" t="s">
        <v>205</v>
      </c>
      <c r="J30" s="14" t="s">
        <v>206</v>
      </c>
      <c r="K30" s="15" t="s">
        <v>207</v>
      </c>
      <c r="L30" s="4"/>
      <c r="M30" s="8"/>
      <c r="N30" s="8"/>
      <c r="O30" s="8"/>
      <c r="P30" s="8"/>
      <c r="Q30" s="8"/>
      <c r="R30" s="8"/>
      <c r="S30" s="8"/>
      <c r="T30" s="8"/>
      <c r="U30" s="8"/>
    </row>
    <row r="31" spans="1:21" ht="16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201</v>
      </c>
      <c r="F31" s="4" t="s">
        <v>212</v>
      </c>
      <c r="G31" s="5" t="s">
        <v>213</v>
      </c>
      <c r="H31" s="4" t="s">
        <v>214</v>
      </c>
      <c r="I31" s="4" t="s">
        <v>18</v>
      </c>
      <c r="J31" s="6" t="str">
        <f t="shared" ref="J31:J34" si="1">"https://www.ncbi.nlm.nih.gov/datasets/genome/" &amp; A31</f>
        <v>https://www.ncbi.nlm.nih.gov/datasets/genome/GCA_000005505.4</v>
      </c>
      <c r="K31" s="7" t="s">
        <v>215</v>
      </c>
      <c r="L31" s="4"/>
      <c r="M31" s="8"/>
      <c r="N31" s="8"/>
      <c r="O31" s="8"/>
      <c r="P31" s="8"/>
      <c r="Q31" s="8"/>
      <c r="R31" s="8"/>
      <c r="S31" s="8"/>
      <c r="T31" s="8"/>
      <c r="U31" s="8"/>
    </row>
    <row r="32" spans="1:21" ht="16">
      <c r="A32" s="4" t="s">
        <v>216</v>
      </c>
      <c r="B32" s="4" t="s">
        <v>217</v>
      </c>
      <c r="C32" s="4" t="s">
        <v>218</v>
      </c>
      <c r="D32" s="4" t="s">
        <v>219</v>
      </c>
      <c r="E32" s="4" t="s">
        <v>201</v>
      </c>
      <c r="F32" s="4" t="s">
        <v>220</v>
      </c>
      <c r="G32" s="5"/>
      <c r="H32" s="4" t="s">
        <v>197</v>
      </c>
      <c r="I32" s="4" t="s">
        <v>18</v>
      </c>
      <c r="J32" s="6" t="str">
        <f t="shared" si="1"/>
        <v>https://www.ncbi.nlm.nih.gov/datasets/genome/GCA_002892335.1</v>
      </c>
      <c r="K32" s="7" t="s">
        <v>221</v>
      </c>
      <c r="L32" s="4"/>
      <c r="M32" s="8"/>
      <c r="N32" s="8"/>
      <c r="O32" s="8"/>
      <c r="P32" s="8"/>
      <c r="Q32" s="8"/>
      <c r="R32" s="8"/>
      <c r="S32" s="8"/>
      <c r="T32" s="8"/>
      <c r="U32" s="8"/>
    </row>
    <row r="33" spans="1:21" ht="16">
      <c r="A33" s="4" t="s">
        <v>222</v>
      </c>
      <c r="B33" s="4" t="s">
        <v>223</v>
      </c>
      <c r="C33" s="4" t="s">
        <v>224</v>
      </c>
      <c r="D33" s="4" t="s">
        <v>225</v>
      </c>
      <c r="E33" s="4" t="s">
        <v>201</v>
      </c>
      <c r="F33" s="4" t="s">
        <v>226</v>
      </c>
      <c r="G33" s="5"/>
      <c r="H33" s="4" t="s">
        <v>197</v>
      </c>
      <c r="I33" s="4" t="s">
        <v>18</v>
      </c>
      <c r="J33" s="6" t="str">
        <f t="shared" si="1"/>
        <v>https://www.ncbi.nlm.nih.gov/datasets/genome/GCA_002892295.1</v>
      </c>
      <c r="K33" s="7" t="s">
        <v>227</v>
      </c>
      <c r="L33" s="4"/>
      <c r="M33" s="8"/>
      <c r="N33" s="8"/>
      <c r="O33" s="8"/>
      <c r="P33" s="8"/>
      <c r="Q33" s="8"/>
      <c r="R33" s="8"/>
      <c r="S33" s="8"/>
      <c r="T33" s="8"/>
      <c r="U33" s="8"/>
    </row>
    <row r="34" spans="1:21" ht="16">
      <c r="A34" s="4" t="s">
        <v>228</v>
      </c>
      <c r="B34" s="4" t="s">
        <v>229</v>
      </c>
      <c r="C34" s="4" t="s">
        <v>230</v>
      </c>
      <c r="D34" s="4" t="s">
        <v>231</v>
      </c>
      <c r="E34" s="4" t="s">
        <v>201</v>
      </c>
      <c r="F34" s="4" t="s">
        <v>232</v>
      </c>
      <c r="G34" s="5"/>
      <c r="H34" s="4" t="s">
        <v>197</v>
      </c>
      <c r="I34" s="4" t="s">
        <v>18</v>
      </c>
      <c r="J34" s="6" t="str">
        <f t="shared" si="1"/>
        <v>https://www.ncbi.nlm.nih.gov/datasets/genome/GCA_001742125.1</v>
      </c>
      <c r="K34" s="7" t="s">
        <v>233</v>
      </c>
      <c r="L34" s="4"/>
      <c r="M34" s="8"/>
      <c r="N34" s="8"/>
      <c r="O34" s="8"/>
      <c r="P34" s="8"/>
      <c r="Q34" s="8"/>
      <c r="R34" s="8"/>
      <c r="S34" s="8"/>
      <c r="T34" s="8"/>
      <c r="U34" s="8"/>
    </row>
    <row r="35" spans="1:21" ht="16">
      <c r="A35" s="11"/>
      <c r="B35" s="11" t="s">
        <v>234</v>
      </c>
      <c r="C35" s="11" t="s">
        <v>234</v>
      </c>
      <c r="D35" s="11" t="s">
        <v>235</v>
      </c>
      <c r="E35" s="4" t="s">
        <v>236</v>
      </c>
      <c r="F35" s="4"/>
      <c r="G35" s="5" t="s">
        <v>203</v>
      </c>
      <c r="H35" s="4" t="s">
        <v>237</v>
      </c>
      <c r="I35" s="4" t="s">
        <v>205</v>
      </c>
      <c r="J35" s="15" t="s">
        <v>238</v>
      </c>
      <c r="K35" s="14" t="s">
        <v>239</v>
      </c>
      <c r="L35" s="4"/>
      <c r="M35" s="8"/>
      <c r="N35" s="8"/>
      <c r="O35" s="8"/>
      <c r="P35" s="8"/>
      <c r="Q35" s="8"/>
      <c r="R35" s="8"/>
      <c r="S35" s="8"/>
      <c r="T35" s="8"/>
      <c r="U35" s="8"/>
    </row>
    <row r="36" spans="1:21" ht="16">
      <c r="A36" s="13"/>
      <c r="B36" s="16" t="s">
        <v>240</v>
      </c>
      <c r="C36" s="17" t="s">
        <v>241</v>
      </c>
      <c r="D36" s="11" t="s">
        <v>242</v>
      </c>
      <c r="E36" s="11" t="s">
        <v>243</v>
      </c>
      <c r="F36" s="4"/>
      <c r="G36" s="5" t="s">
        <v>171</v>
      </c>
      <c r="H36" s="4" t="s">
        <v>244</v>
      </c>
      <c r="I36" s="4" t="s">
        <v>245</v>
      </c>
      <c r="J36" s="14" t="s">
        <v>246</v>
      </c>
      <c r="K36" s="15" t="s">
        <v>247</v>
      </c>
      <c r="L36" s="4"/>
      <c r="M36" s="8"/>
      <c r="N36" s="8"/>
      <c r="O36" s="8"/>
      <c r="P36" s="8"/>
      <c r="Q36" s="8"/>
      <c r="R36" s="8"/>
      <c r="S36" s="8"/>
      <c r="T36" s="8"/>
      <c r="U36" s="8"/>
    </row>
    <row r="37" spans="1:21" ht="16">
      <c r="A37" s="4" t="s">
        <v>248</v>
      </c>
      <c r="B37" s="4" t="s">
        <v>249</v>
      </c>
      <c r="C37" s="4" t="s">
        <v>250</v>
      </c>
      <c r="D37" s="4" t="s">
        <v>251</v>
      </c>
      <c r="E37" s="4" t="s">
        <v>252</v>
      </c>
      <c r="F37" s="4"/>
      <c r="G37" s="5" t="s">
        <v>253</v>
      </c>
      <c r="H37" s="4" t="s">
        <v>254</v>
      </c>
      <c r="I37" s="4" t="s">
        <v>18</v>
      </c>
      <c r="J37" s="6" t="str">
        <f>"https://www.ncbi.nlm.nih.gov/datasets/genome/" &amp; A37</f>
        <v>https://www.ncbi.nlm.nih.gov/datasets/genome/GCA_950022295.1</v>
      </c>
      <c r="K37" s="7" t="s">
        <v>255</v>
      </c>
      <c r="L37" s="4"/>
      <c r="M37" s="8"/>
      <c r="N37" s="8"/>
      <c r="O37" s="8"/>
      <c r="P37" s="8"/>
      <c r="Q37" s="8"/>
      <c r="R37" s="8"/>
      <c r="S37" s="8"/>
      <c r="T37" s="8"/>
      <c r="U37" s="8"/>
    </row>
    <row r="38" spans="1:21" ht="16">
      <c r="A38" s="13"/>
      <c r="B38" s="16" t="s">
        <v>256</v>
      </c>
      <c r="C38" s="16" t="s">
        <v>257</v>
      </c>
      <c r="D38" s="4" t="s">
        <v>258</v>
      </c>
      <c r="E38" s="4" t="s">
        <v>259</v>
      </c>
      <c r="F38" s="4"/>
      <c r="G38" s="5" t="s">
        <v>260</v>
      </c>
      <c r="H38" s="4" t="s">
        <v>261</v>
      </c>
      <c r="I38" s="4" t="s">
        <v>245</v>
      </c>
      <c r="J38" s="15" t="s">
        <v>262</v>
      </c>
      <c r="K38" s="7" t="s">
        <v>263</v>
      </c>
      <c r="L38" s="4"/>
      <c r="M38" s="8"/>
      <c r="N38" s="8"/>
      <c r="O38" s="8"/>
      <c r="P38" s="8"/>
      <c r="Q38" s="8"/>
      <c r="R38" s="8"/>
      <c r="S38" s="8"/>
      <c r="T38" s="8"/>
      <c r="U38" s="8"/>
    </row>
    <row r="39" spans="1:21" ht="16">
      <c r="A39" s="4" t="s">
        <v>264</v>
      </c>
      <c r="B39" s="4" t="s">
        <v>265</v>
      </c>
      <c r="C39" s="4" t="s">
        <v>266</v>
      </c>
      <c r="D39" s="4" t="s">
        <v>267</v>
      </c>
      <c r="E39" s="4" t="s">
        <v>268</v>
      </c>
      <c r="F39" s="4"/>
      <c r="G39" s="5"/>
      <c r="H39" s="4" t="s">
        <v>269</v>
      </c>
      <c r="I39" s="4" t="s">
        <v>18</v>
      </c>
      <c r="J39" s="6" t="str">
        <f t="shared" ref="J39:J53" si="2">"https://www.ncbi.nlm.nih.gov/datasets/genome/" &amp; A39</f>
        <v>https://www.ncbi.nlm.nih.gov/datasets/genome/GCA_947561735.1</v>
      </c>
      <c r="K39" s="7" t="s">
        <v>270</v>
      </c>
      <c r="L39" s="4"/>
      <c r="M39" s="8"/>
      <c r="N39" s="8"/>
      <c r="O39" s="8"/>
      <c r="P39" s="8"/>
      <c r="Q39" s="8"/>
      <c r="R39" s="8"/>
      <c r="S39" s="8"/>
      <c r="T39" s="8"/>
      <c r="U39" s="8"/>
    </row>
    <row r="40" spans="1:21" ht="16">
      <c r="A40" s="4" t="s">
        <v>271</v>
      </c>
      <c r="B40" s="4" t="s">
        <v>272</v>
      </c>
      <c r="C40" s="4" t="s">
        <v>273</v>
      </c>
      <c r="D40" s="4" t="s">
        <v>274</v>
      </c>
      <c r="E40" s="4" t="s">
        <v>268</v>
      </c>
      <c r="F40" s="4" t="s">
        <v>275</v>
      </c>
      <c r="G40" s="5"/>
      <c r="H40" s="4" t="s">
        <v>31</v>
      </c>
      <c r="I40" s="4" t="s">
        <v>18</v>
      </c>
      <c r="J40" s="6" t="str">
        <f t="shared" si="2"/>
        <v>https://www.ncbi.nlm.nih.gov/datasets/genome/GCA_020739565.1</v>
      </c>
      <c r="K40" s="9" t="s">
        <v>276</v>
      </c>
      <c r="L40" s="4"/>
      <c r="M40" s="8"/>
      <c r="N40" s="8"/>
      <c r="O40" s="8"/>
      <c r="P40" s="8"/>
      <c r="Q40" s="8"/>
      <c r="R40" s="8"/>
      <c r="S40" s="8"/>
      <c r="T40" s="8"/>
      <c r="U40" s="8"/>
    </row>
    <row r="41" spans="1:21" ht="16">
      <c r="A41" s="4" t="s">
        <v>277</v>
      </c>
      <c r="B41" s="4" t="s">
        <v>278</v>
      </c>
      <c r="C41" s="4" t="s">
        <v>279</v>
      </c>
      <c r="D41" s="4" t="s">
        <v>280</v>
      </c>
      <c r="E41" s="4" t="s">
        <v>268</v>
      </c>
      <c r="F41" s="4" t="s">
        <v>281</v>
      </c>
      <c r="G41" s="5"/>
      <c r="H41" s="4" t="s">
        <v>31</v>
      </c>
      <c r="I41" s="4" t="s">
        <v>18</v>
      </c>
      <c r="J41" s="6" t="str">
        <f t="shared" si="2"/>
        <v>https://www.ncbi.nlm.nih.gov/datasets/genome/GCA_020739585.1</v>
      </c>
      <c r="K41" s="9" t="s">
        <v>276</v>
      </c>
      <c r="L41" s="4"/>
      <c r="M41" s="8"/>
      <c r="N41" s="8"/>
      <c r="O41" s="8"/>
      <c r="P41" s="8"/>
      <c r="Q41" s="8"/>
      <c r="R41" s="8"/>
      <c r="S41" s="8"/>
      <c r="T41" s="8"/>
      <c r="U41" s="8"/>
    </row>
    <row r="42" spans="1:21" ht="16">
      <c r="A42" s="4" t="s">
        <v>282</v>
      </c>
      <c r="B42" s="4" t="s">
        <v>283</v>
      </c>
      <c r="C42" s="4" t="s">
        <v>284</v>
      </c>
      <c r="D42" s="4" t="s">
        <v>285</v>
      </c>
      <c r="E42" s="4" t="s">
        <v>268</v>
      </c>
      <c r="F42" s="4" t="s">
        <v>286</v>
      </c>
      <c r="G42" s="5"/>
      <c r="H42" s="4" t="s">
        <v>71</v>
      </c>
      <c r="I42" s="4" t="s">
        <v>18</v>
      </c>
      <c r="J42" s="6" t="str">
        <f t="shared" si="2"/>
        <v>https://www.ncbi.nlm.nih.gov/datasets/genome/GCA_020739525.1</v>
      </c>
      <c r="K42" s="14" t="s">
        <v>276</v>
      </c>
      <c r="L42" s="4"/>
      <c r="M42" s="8"/>
      <c r="N42" s="8"/>
      <c r="O42" s="8"/>
      <c r="P42" s="8"/>
      <c r="Q42" s="8"/>
      <c r="R42" s="8"/>
      <c r="S42" s="8"/>
      <c r="T42" s="8"/>
      <c r="U42" s="8"/>
    </row>
    <row r="43" spans="1:21" ht="16">
      <c r="A43" s="4" t="s">
        <v>287</v>
      </c>
      <c r="B43" s="4" t="s">
        <v>288</v>
      </c>
      <c r="C43" s="4" t="s">
        <v>289</v>
      </c>
      <c r="D43" s="4" t="s">
        <v>290</v>
      </c>
      <c r="E43" s="4" t="s">
        <v>268</v>
      </c>
      <c r="F43" s="4" t="s">
        <v>291</v>
      </c>
      <c r="G43" s="5"/>
      <c r="H43" s="4" t="s">
        <v>71</v>
      </c>
      <c r="I43" s="4" t="s">
        <v>18</v>
      </c>
      <c r="J43" s="6" t="str">
        <f t="shared" si="2"/>
        <v>https://www.ncbi.nlm.nih.gov/datasets/genome/GCA_020739575.1</v>
      </c>
      <c r="K43" s="9" t="s">
        <v>276</v>
      </c>
      <c r="L43" s="4"/>
      <c r="M43" s="8"/>
      <c r="N43" s="8"/>
      <c r="O43" s="8"/>
      <c r="P43" s="8"/>
      <c r="Q43" s="8"/>
      <c r="R43" s="8"/>
      <c r="S43" s="8"/>
      <c r="T43" s="8"/>
      <c r="U43" s="8"/>
    </row>
    <row r="44" spans="1:21" ht="16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5"/>
      <c r="H44" s="4" t="s">
        <v>71</v>
      </c>
      <c r="I44" s="4" t="s">
        <v>18</v>
      </c>
      <c r="J44" s="6" t="str">
        <f t="shared" si="2"/>
        <v>https://www.ncbi.nlm.nih.gov/datasets/genome/GCA_036936925.1</v>
      </c>
      <c r="K44" s="7" t="s">
        <v>298</v>
      </c>
      <c r="L44" s="4"/>
      <c r="M44" s="8"/>
      <c r="N44" s="8"/>
      <c r="O44" s="8"/>
      <c r="P44" s="8"/>
      <c r="Q44" s="8"/>
      <c r="R44" s="8"/>
      <c r="S44" s="8"/>
      <c r="T44" s="8"/>
      <c r="U44" s="8"/>
    </row>
    <row r="45" spans="1:21" ht="16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5"/>
      <c r="H45" s="4" t="s">
        <v>17</v>
      </c>
      <c r="I45" s="4" t="s">
        <v>18</v>
      </c>
      <c r="J45" s="6" t="str">
        <f t="shared" si="2"/>
        <v>https://www.ncbi.nlm.nih.gov/datasets/genome/GCA_022644695.1</v>
      </c>
      <c r="K45" s="15" t="s">
        <v>305</v>
      </c>
      <c r="L45" s="4"/>
      <c r="M45" s="8"/>
      <c r="N45" s="8"/>
      <c r="O45" s="8"/>
      <c r="P45" s="8"/>
      <c r="Q45" s="8"/>
      <c r="R45" s="8"/>
      <c r="S45" s="8"/>
      <c r="T45" s="8"/>
      <c r="U45" s="8"/>
    </row>
    <row r="46" spans="1:21" ht="16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303</v>
      </c>
      <c r="F46" s="4" t="s">
        <v>310</v>
      </c>
      <c r="G46" s="5"/>
      <c r="H46" s="4" t="s">
        <v>311</v>
      </c>
      <c r="I46" s="4" t="s">
        <v>18</v>
      </c>
      <c r="J46" s="6" t="str">
        <f t="shared" si="2"/>
        <v>https://www.ncbi.nlm.nih.gov/datasets/genome/GCA_028749085.1</v>
      </c>
      <c r="K46" s="7" t="s">
        <v>312</v>
      </c>
      <c r="L46" s="4"/>
      <c r="M46" s="8"/>
      <c r="N46" s="8"/>
      <c r="O46" s="8"/>
      <c r="P46" s="8"/>
      <c r="Q46" s="8"/>
      <c r="R46" s="8"/>
      <c r="S46" s="8"/>
      <c r="T46" s="8"/>
      <c r="U46" s="8"/>
    </row>
    <row r="47" spans="1:21" ht="16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5"/>
      <c r="H47" s="4" t="s">
        <v>17</v>
      </c>
      <c r="I47" s="4" t="s">
        <v>18</v>
      </c>
      <c r="J47" s="6" t="str">
        <f t="shared" si="2"/>
        <v>https://www.ncbi.nlm.nih.gov/datasets/genome/GCA_031894775.1</v>
      </c>
      <c r="K47" s="7" t="s">
        <v>319</v>
      </c>
      <c r="L47" s="4"/>
      <c r="M47" s="8"/>
      <c r="N47" s="8"/>
      <c r="O47" s="8"/>
      <c r="P47" s="8"/>
      <c r="Q47" s="8"/>
      <c r="R47" s="8"/>
      <c r="S47" s="8"/>
      <c r="T47" s="8"/>
      <c r="U47" s="8"/>
    </row>
    <row r="48" spans="1:21" ht="16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5"/>
      <c r="H48" s="4" t="s">
        <v>326</v>
      </c>
      <c r="I48" s="4" t="s">
        <v>18</v>
      </c>
      <c r="J48" s="6" t="str">
        <f t="shared" si="2"/>
        <v>https://www.ncbi.nlm.nih.gov/datasets/genome/GCA_015844335.1</v>
      </c>
      <c r="K48" s="7" t="s">
        <v>327</v>
      </c>
      <c r="L48" s="4"/>
      <c r="M48" s="8"/>
      <c r="N48" s="8"/>
      <c r="O48" s="8"/>
      <c r="P48" s="8"/>
      <c r="Q48" s="8"/>
      <c r="R48" s="8"/>
      <c r="S48" s="8"/>
      <c r="T48" s="8"/>
      <c r="U48" s="8"/>
    </row>
    <row r="49" spans="1:21" ht="16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5"/>
      <c r="H49" s="4" t="s">
        <v>79</v>
      </c>
      <c r="I49" s="4" t="s">
        <v>18</v>
      </c>
      <c r="J49" s="6" t="str">
        <f t="shared" si="2"/>
        <v>https://www.ncbi.nlm.nih.gov/datasets/genome/GCA_009725075.1</v>
      </c>
      <c r="K49" s="7" t="s">
        <v>334</v>
      </c>
      <c r="L49" s="4"/>
      <c r="M49" s="8"/>
      <c r="N49" s="8"/>
      <c r="O49" s="8"/>
      <c r="P49" s="8"/>
      <c r="Q49" s="8"/>
      <c r="R49" s="8"/>
      <c r="S49" s="8"/>
      <c r="T49" s="8"/>
      <c r="U49" s="8"/>
    </row>
    <row r="50" spans="1:21" ht="16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5"/>
      <c r="H50" s="4" t="s">
        <v>341</v>
      </c>
      <c r="I50" s="4" t="s">
        <v>18</v>
      </c>
      <c r="J50" s="6" t="str">
        <f t="shared" si="2"/>
        <v>https://www.ncbi.nlm.nih.gov/datasets/genome/GCA_009763385.1</v>
      </c>
      <c r="K50" s="7" t="s">
        <v>342</v>
      </c>
      <c r="L50" s="4"/>
      <c r="M50" s="8"/>
      <c r="N50" s="8"/>
      <c r="O50" s="8"/>
      <c r="P50" s="8"/>
      <c r="Q50" s="8"/>
      <c r="R50" s="8"/>
      <c r="S50" s="8"/>
      <c r="T50" s="8"/>
      <c r="U50" s="8"/>
    </row>
    <row r="51" spans="1:21" ht="16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339</v>
      </c>
      <c r="F51" s="4" t="s">
        <v>347</v>
      </c>
      <c r="G51" s="5"/>
      <c r="H51" s="4" t="s">
        <v>348</v>
      </c>
      <c r="I51" s="4" t="s">
        <v>18</v>
      </c>
      <c r="J51" s="6" t="str">
        <f t="shared" si="2"/>
        <v>https://www.ncbi.nlm.nih.gov/datasets/genome/GCA_009758035.1</v>
      </c>
      <c r="K51" s="15" t="s">
        <v>349</v>
      </c>
      <c r="L51" s="4"/>
      <c r="M51" s="8"/>
      <c r="N51" s="8"/>
      <c r="O51" s="8"/>
      <c r="P51" s="8"/>
      <c r="Q51" s="8"/>
      <c r="R51" s="8"/>
      <c r="S51" s="8"/>
      <c r="T51" s="8"/>
      <c r="U51" s="8"/>
    </row>
    <row r="52" spans="1:21" ht="16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5"/>
      <c r="H52" s="4" t="s">
        <v>356</v>
      </c>
      <c r="I52" s="4" t="s">
        <v>18</v>
      </c>
      <c r="J52" s="6" t="str">
        <f t="shared" si="2"/>
        <v>https://www.ncbi.nlm.nih.gov/datasets/genome/GCA_031170775.1</v>
      </c>
      <c r="K52" s="4" t="s">
        <v>357</v>
      </c>
      <c r="L52" s="4"/>
      <c r="M52" s="8"/>
      <c r="N52" s="8"/>
      <c r="O52" s="8"/>
      <c r="P52" s="8"/>
      <c r="Q52" s="8"/>
      <c r="R52" s="8"/>
      <c r="S52" s="8"/>
      <c r="T52" s="8"/>
      <c r="U52" s="8"/>
    </row>
    <row r="53" spans="1:21" ht="16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5"/>
      <c r="H53" s="4" t="s">
        <v>197</v>
      </c>
      <c r="I53" s="4" t="s">
        <v>18</v>
      </c>
      <c r="J53" s="6" t="str">
        <f t="shared" si="2"/>
        <v>https://www.ncbi.nlm.nih.gov/datasets/genome/GCA_027790015.1</v>
      </c>
      <c r="K53" s="4" t="s">
        <v>364</v>
      </c>
      <c r="L53" s="4"/>
      <c r="M53" s="8"/>
      <c r="N53" s="8"/>
      <c r="O53" s="8"/>
      <c r="P53" s="8"/>
      <c r="Q53" s="8"/>
      <c r="R53" s="8"/>
      <c r="S53" s="8"/>
      <c r="T53" s="8"/>
      <c r="U53" s="8"/>
    </row>
    <row r="54" spans="1:21" ht="16">
      <c r="A54" s="13"/>
      <c r="B54" s="16" t="s">
        <v>365</v>
      </c>
      <c r="C54" s="17" t="s">
        <v>366</v>
      </c>
      <c r="D54" s="11" t="s">
        <v>367</v>
      </c>
      <c r="E54" s="11" t="s">
        <v>368</v>
      </c>
      <c r="F54" s="4"/>
      <c r="G54" s="5" t="s">
        <v>260</v>
      </c>
      <c r="H54" s="4" t="s">
        <v>244</v>
      </c>
      <c r="I54" s="4" t="s">
        <v>245</v>
      </c>
      <c r="J54" s="14" t="s">
        <v>369</v>
      </c>
      <c r="K54" s="15" t="s">
        <v>370</v>
      </c>
      <c r="L54" s="4"/>
      <c r="M54" s="8"/>
      <c r="N54" s="8"/>
      <c r="O54" s="8"/>
      <c r="P54" s="8"/>
      <c r="Q54" s="8"/>
      <c r="R54" s="8"/>
      <c r="S54" s="8"/>
      <c r="T54" s="8"/>
      <c r="U54" s="8"/>
    </row>
    <row r="55" spans="1:21" ht="16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5"/>
      <c r="H55" s="4" t="s">
        <v>79</v>
      </c>
      <c r="I55" s="4" t="s">
        <v>18</v>
      </c>
      <c r="J55" s="6" t="str">
        <f t="shared" ref="J55:J74" si="3">"https://www.ncbi.nlm.nih.gov/datasets/genome/" &amp; A55</f>
        <v>https://www.ncbi.nlm.nih.gov/datasets/genome/GCA_007115705.1</v>
      </c>
      <c r="K55" s="7" t="s">
        <v>377</v>
      </c>
      <c r="L55" s="4"/>
      <c r="M55" s="8"/>
      <c r="N55" s="8"/>
      <c r="O55" s="8"/>
      <c r="P55" s="8"/>
      <c r="Q55" s="8"/>
      <c r="R55" s="8"/>
      <c r="S55" s="8"/>
      <c r="T55" s="8"/>
      <c r="U55" s="8"/>
    </row>
    <row r="56" spans="1:21" ht="17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375</v>
      </c>
      <c r="F56" s="18">
        <v>38718</v>
      </c>
      <c r="G56" s="5"/>
      <c r="H56" s="4" t="s">
        <v>197</v>
      </c>
      <c r="I56" s="4" t="s">
        <v>18</v>
      </c>
      <c r="J56" s="6" t="str">
        <f t="shared" si="3"/>
        <v>https://www.ncbi.nlm.nih.gov/datasets/genome/GCA_002892645.1</v>
      </c>
      <c r="K56" s="19" t="s">
        <v>364</v>
      </c>
      <c r="L56" s="4"/>
      <c r="M56" s="8"/>
      <c r="N56" s="8"/>
      <c r="O56" s="8"/>
      <c r="P56" s="8"/>
      <c r="Q56" s="8"/>
      <c r="R56" s="8"/>
      <c r="S56" s="8"/>
      <c r="T56" s="8"/>
      <c r="U56" s="8"/>
    </row>
    <row r="57" spans="1:21" ht="16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5"/>
      <c r="H57" s="4" t="s">
        <v>79</v>
      </c>
      <c r="I57" s="4" t="s">
        <v>18</v>
      </c>
      <c r="J57" s="6" t="str">
        <f t="shared" si="3"/>
        <v>https://www.ncbi.nlm.nih.gov/datasets/genome/GCA_017311315.1</v>
      </c>
      <c r="K57" s="15" t="s">
        <v>388</v>
      </c>
      <c r="L57" s="4"/>
      <c r="M57" s="8"/>
      <c r="N57" s="8"/>
      <c r="O57" s="8"/>
      <c r="P57" s="8"/>
      <c r="Q57" s="8"/>
      <c r="R57" s="8"/>
      <c r="S57" s="8"/>
      <c r="T57" s="8"/>
      <c r="U57" s="8"/>
    </row>
    <row r="58" spans="1:21" ht="16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5"/>
      <c r="H58" s="4" t="s">
        <v>17</v>
      </c>
      <c r="I58" s="4" t="s">
        <v>18</v>
      </c>
      <c r="J58" s="6" t="str">
        <f t="shared" si="3"/>
        <v>https://www.ncbi.nlm.nih.gov/datasets/genome/GCA_036346575.1</v>
      </c>
      <c r="K58" s="9" t="s">
        <v>125</v>
      </c>
      <c r="L58" s="4"/>
      <c r="M58" s="8"/>
      <c r="N58" s="8"/>
      <c r="O58" s="8"/>
      <c r="P58" s="8"/>
      <c r="Q58" s="8"/>
      <c r="R58" s="8"/>
      <c r="S58" s="8"/>
      <c r="T58" s="8"/>
      <c r="U58" s="8"/>
    </row>
    <row r="59" spans="1:21" ht="16">
      <c r="A59" s="4" t="s">
        <v>395</v>
      </c>
      <c r="B59" s="4" t="s">
        <v>396</v>
      </c>
      <c r="C59" s="4" t="s">
        <v>397</v>
      </c>
      <c r="D59" s="4" t="s">
        <v>398</v>
      </c>
      <c r="E59" s="4" t="s">
        <v>399</v>
      </c>
      <c r="F59" s="4" t="s">
        <v>400</v>
      </c>
      <c r="G59" s="5"/>
      <c r="H59" s="4" t="s">
        <v>197</v>
      </c>
      <c r="I59" s="4" t="s">
        <v>18</v>
      </c>
      <c r="J59" s="6" t="str">
        <f t="shared" si="3"/>
        <v>https://www.ncbi.nlm.nih.gov/datasets/genome/GCA_001633215.2</v>
      </c>
      <c r="K59" s="7" t="s">
        <v>401</v>
      </c>
      <c r="L59" s="4"/>
      <c r="M59" s="8"/>
      <c r="N59" s="8"/>
      <c r="O59" s="8"/>
      <c r="P59" s="8"/>
      <c r="Q59" s="8"/>
      <c r="R59" s="8"/>
      <c r="S59" s="8"/>
      <c r="T59" s="8"/>
      <c r="U59" s="8"/>
    </row>
    <row r="60" spans="1:21" ht="16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5"/>
      <c r="H60" s="4" t="s">
        <v>71</v>
      </c>
      <c r="I60" s="4" t="s">
        <v>18</v>
      </c>
      <c r="J60" s="6" t="str">
        <f t="shared" si="3"/>
        <v>https://www.ncbi.nlm.nih.gov/datasets/genome/GCA_015342445.1</v>
      </c>
      <c r="K60" s="15" t="s">
        <v>408</v>
      </c>
      <c r="L60" s="4"/>
      <c r="M60" s="8"/>
      <c r="N60" s="8"/>
      <c r="O60" s="8"/>
      <c r="P60" s="8"/>
      <c r="Q60" s="8"/>
      <c r="R60" s="8"/>
      <c r="S60" s="8"/>
      <c r="T60" s="8"/>
      <c r="U60" s="8"/>
    </row>
    <row r="61" spans="1:21" ht="16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406</v>
      </c>
      <c r="F61" s="4"/>
      <c r="G61" s="5"/>
      <c r="H61" s="4" t="s">
        <v>31</v>
      </c>
      <c r="I61" s="4" t="s">
        <v>18</v>
      </c>
      <c r="J61" s="6" t="str">
        <f t="shared" si="3"/>
        <v>https://www.ncbi.nlm.nih.gov/datasets/genome/GCA_902859565.1</v>
      </c>
      <c r="K61" s="9" t="s">
        <v>413</v>
      </c>
      <c r="L61" s="4"/>
      <c r="M61" s="8"/>
      <c r="N61" s="8"/>
      <c r="O61" s="8"/>
      <c r="P61" s="8"/>
      <c r="Q61" s="8"/>
      <c r="R61" s="8"/>
      <c r="S61" s="8"/>
      <c r="T61" s="8"/>
      <c r="U61" s="8"/>
    </row>
    <row r="62" spans="1:21" ht="34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5"/>
      <c r="H62" s="4" t="s">
        <v>87</v>
      </c>
      <c r="I62" s="4" t="s">
        <v>18</v>
      </c>
      <c r="J62" s="6" t="str">
        <f t="shared" si="3"/>
        <v>https://www.ncbi.nlm.nih.gov/datasets/genome/GCA_025118225.1</v>
      </c>
      <c r="K62" s="20" t="s">
        <v>420</v>
      </c>
      <c r="L62" s="4"/>
      <c r="M62" s="8"/>
      <c r="N62" s="8"/>
      <c r="O62" s="8"/>
      <c r="P62" s="8"/>
      <c r="Q62" s="8"/>
      <c r="R62" s="8"/>
      <c r="S62" s="8"/>
      <c r="T62" s="8"/>
      <c r="U62" s="8"/>
    </row>
    <row r="63" spans="1:21" ht="16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5"/>
      <c r="H63" s="4" t="s">
        <v>427</v>
      </c>
      <c r="I63" s="4" t="s">
        <v>18</v>
      </c>
      <c r="J63" s="6" t="str">
        <f t="shared" si="3"/>
        <v>https://www.ncbi.nlm.nih.gov/datasets/genome/GCA_033239725.1</v>
      </c>
      <c r="K63" s="15" t="s">
        <v>428</v>
      </c>
      <c r="L63" s="4"/>
      <c r="M63" s="8"/>
      <c r="N63" s="8"/>
      <c r="O63" s="8"/>
      <c r="P63" s="8"/>
      <c r="Q63" s="8"/>
      <c r="R63" s="8"/>
      <c r="S63" s="8"/>
      <c r="T63" s="8"/>
      <c r="U63" s="8"/>
    </row>
    <row r="64" spans="1:21" ht="16">
      <c r="A64" s="4" t="s">
        <v>429</v>
      </c>
      <c r="B64" s="4" t="s">
        <v>430</v>
      </c>
      <c r="C64" s="4" t="s">
        <v>431</v>
      </c>
      <c r="D64" s="4" t="s">
        <v>432</v>
      </c>
      <c r="E64" s="4" t="s">
        <v>433</v>
      </c>
      <c r="F64" s="4" t="s">
        <v>434</v>
      </c>
      <c r="G64" s="5"/>
      <c r="H64" s="4" t="s">
        <v>435</v>
      </c>
      <c r="I64" s="4" t="s">
        <v>18</v>
      </c>
      <c r="J64" s="6" t="str">
        <f t="shared" si="3"/>
        <v>https://www.ncbi.nlm.nih.gov/datasets/genome/GCA_032690845.1</v>
      </c>
      <c r="K64" s="9" t="s">
        <v>436</v>
      </c>
      <c r="L64" s="4"/>
      <c r="M64" s="8"/>
      <c r="N64" s="8"/>
      <c r="O64" s="8"/>
      <c r="P64" s="8"/>
      <c r="Q64" s="8"/>
      <c r="R64" s="8"/>
      <c r="S64" s="8"/>
      <c r="T64" s="8"/>
      <c r="U64" s="8"/>
    </row>
    <row r="65" spans="1:21" ht="16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433</v>
      </c>
      <c r="F65" s="4" t="s">
        <v>441</v>
      </c>
      <c r="G65" s="5"/>
      <c r="H65" s="4" t="s">
        <v>442</v>
      </c>
      <c r="I65" s="4" t="s">
        <v>18</v>
      </c>
      <c r="J65" s="6" t="str">
        <f t="shared" si="3"/>
        <v>https://www.ncbi.nlm.nih.gov/datasets/genome/GCA_021604985.1</v>
      </c>
      <c r="K65" s="7" t="s">
        <v>443</v>
      </c>
      <c r="L65" s="4"/>
      <c r="M65" s="8"/>
      <c r="N65" s="8"/>
      <c r="O65" s="8"/>
      <c r="P65" s="8"/>
      <c r="Q65" s="8"/>
      <c r="R65" s="8"/>
      <c r="S65" s="8"/>
      <c r="T65" s="8"/>
      <c r="U65" s="8"/>
    </row>
    <row r="66" spans="1:21" ht="16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433</v>
      </c>
      <c r="F66" s="4" t="s">
        <v>448</v>
      </c>
      <c r="G66" s="5"/>
      <c r="H66" s="4" t="s">
        <v>449</v>
      </c>
      <c r="I66" s="4" t="s">
        <v>18</v>
      </c>
      <c r="J66" s="6" t="str">
        <f t="shared" si="3"/>
        <v>https://www.ncbi.nlm.nih.gov/datasets/genome/GCA_002180455.1</v>
      </c>
      <c r="K66" s="7" t="s">
        <v>450</v>
      </c>
      <c r="L66" s="4"/>
      <c r="M66" s="8"/>
      <c r="N66" s="8"/>
      <c r="O66" s="8"/>
      <c r="P66" s="8"/>
      <c r="Q66" s="8"/>
      <c r="R66" s="8"/>
      <c r="S66" s="8"/>
      <c r="T66" s="8"/>
      <c r="U66" s="8"/>
    </row>
    <row r="67" spans="1:21" ht="16">
      <c r="A67" s="4" t="s">
        <v>451</v>
      </c>
      <c r="B67" s="4" t="s">
        <v>452</v>
      </c>
      <c r="C67" s="4" t="s">
        <v>453</v>
      </c>
      <c r="D67" s="4" t="s">
        <v>454</v>
      </c>
      <c r="E67" s="4" t="s">
        <v>455</v>
      </c>
      <c r="F67" s="4" t="s">
        <v>456</v>
      </c>
      <c r="G67" s="5"/>
      <c r="H67" s="4" t="s">
        <v>348</v>
      </c>
      <c r="I67" s="4" t="s">
        <v>18</v>
      </c>
      <c r="J67" s="6" t="str">
        <f t="shared" si="3"/>
        <v>https://www.ncbi.nlm.nih.gov/datasets/genome/GCA_030378355.1</v>
      </c>
      <c r="K67" s="7" t="s">
        <v>457</v>
      </c>
      <c r="L67" s="4"/>
      <c r="M67" s="8"/>
      <c r="N67" s="8"/>
      <c r="O67" s="8"/>
      <c r="P67" s="8"/>
      <c r="Q67" s="8"/>
      <c r="R67" s="8"/>
      <c r="S67" s="8"/>
      <c r="T67" s="8"/>
      <c r="U67" s="8"/>
    </row>
    <row r="68" spans="1:21" ht="16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455</v>
      </c>
      <c r="F68" s="4" t="s">
        <v>462</v>
      </c>
      <c r="G68" s="5"/>
      <c r="H68" s="4" t="s">
        <v>348</v>
      </c>
      <c r="I68" s="4" t="s">
        <v>18</v>
      </c>
      <c r="J68" s="6" t="str">
        <f t="shared" si="3"/>
        <v>https://www.ncbi.nlm.nih.gov/datasets/genome/GCA_030411765.1</v>
      </c>
      <c r="K68" s="7" t="s">
        <v>463</v>
      </c>
      <c r="L68" s="4"/>
      <c r="M68" s="8"/>
      <c r="N68" s="8"/>
      <c r="O68" s="8"/>
      <c r="P68" s="8"/>
      <c r="Q68" s="8"/>
      <c r="R68" s="8"/>
      <c r="S68" s="8"/>
      <c r="T68" s="8"/>
      <c r="U68" s="8"/>
    </row>
    <row r="69" spans="1:21" ht="16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455</v>
      </c>
      <c r="F69" s="4" t="s">
        <v>468</v>
      </c>
      <c r="G69" s="5"/>
      <c r="H69" s="4" t="s">
        <v>197</v>
      </c>
      <c r="I69" s="4" t="s">
        <v>18</v>
      </c>
      <c r="J69" s="6" t="str">
        <f t="shared" si="3"/>
        <v>https://www.ncbi.nlm.nih.gov/datasets/genome/GCA_003369855.1</v>
      </c>
      <c r="K69" s="7" t="s">
        <v>469</v>
      </c>
      <c r="L69" s="4"/>
      <c r="M69" s="8"/>
      <c r="N69" s="8"/>
      <c r="O69" s="8"/>
      <c r="P69" s="8"/>
      <c r="Q69" s="8"/>
      <c r="R69" s="8"/>
      <c r="S69" s="8"/>
      <c r="T69" s="8"/>
      <c r="U69" s="8"/>
    </row>
    <row r="70" spans="1:21" ht="16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455</v>
      </c>
      <c r="F70" s="4" t="s">
        <v>474</v>
      </c>
      <c r="G70" s="5"/>
      <c r="H70" s="4" t="s">
        <v>204</v>
      </c>
      <c r="I70" s="4" t="s">
        <v>18</v>
      </c>
      <c r="J70" s="6" t="str">
        <f t="shared" si="3"/>
        <v>https://www.ncbi.nlm.nih.gov/datasets/genome/GCA_022709325.1</v>
      </c>
      <c r="K70" s="11" t="s">
        <v>475</v>
      </c>
      <c r="L70" s="4"/>
      <c r="M70" s="8"/>
      <c r="N70" s="8"/>
      <c r="O70" s="8"/>
      <c r="P70" s="8"/>
      <c r="Q70" s="8"/>
      <c r="R70" s="8"/>
      <c r="S70" s="8"/>
      <c r="T70" s="8"/>
      <c r="U70" s="8"/>
    </row>
    <row r="71" spans="1:21" ht="16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5"/>
      <c r="H71" s="4" t="s">
        <v>482</v>
      </c>
      <c r="I71" s="4" t="s">
        <v>18</v>
      </c>
      <c r="J71" s="6" t="str">
        <f t="shared" si="3"/>
        <v>https://www.ncbi.nlm.nih.gov/datasets/genome/GCA_007726485.1</v>
      </c>
      <c r="K71" s="7" t="s">
        <v>483</v>
      </c>
      <c r="L71" s="4"/>
      <c r="M71" s="8"/>
      <c r="N71" s="8"/>
      <c r="O71" s="8"/>
      <c r="P71" s="8"/>
      <c r="Q71" s="8"/>
      <c r="R71" s="8"/>
      <c r="S71" s="8"/>
      <c r="T71" s="8"/>
      <c r="U71" s="8"/>
    </row>
    <row r="72" spans="1:21" ht="16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5"/>
      <c r="H72" s="4" t="s">
        <v>71</v>
      </c>
      <c r="I72" s="4" t="s">
        <v>18</v>
      </c>
      <c r="J72" s="6" t="str">
        <f t="shared" si="3"/>
        <v>https://www.ncbi.nlm.nih.gov/datasets/genome/GCA_012490785.1</v>
      </c>
      <c r="K72" s="15" t="s">
        <v>490</v>
      </c>
      <c r="L72" s="4"/>
      <c r="M72" s="8"/>
      <c r="N72" s="8"/>
      <c r="O72" s="8"/>
      <c r="P72" s="8"/>
      <c r="Q72" s="8"/>
      <c r="R72" s="8"/>
      <c r="S72" s="8"/>
      <c r="T72" s="8"/>
      <c r="U72" s="8"/>
    </row>
    <row r="73" spans="1:21" ht="16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5"/>
      <c r="H73" s="4" t="s">
        <v>497</v>
      </c>
      <c r="I73" s="4" t="s">
        <v>18</v>
      </c>
      <c r="J73" s="6" t="str">
        <f t="shared" si="3"/>
        <v>https://www.ncbi.nlm.nih.gov/datasets/genome/GCA_000970635.1</v>
      </c>
      <c r="K73" s="7" t="s">
        <v>498</v>
      </c>
      <c r="L73" s="4"/>
      <c r="M73" s="8"/>
      <c r="N73" s="8"/>
      <c r="O73" s="8"/>
      <c r="P73" s="8"/>
      <c r="Q73" s="8"/>
      <c r="R73" s="8"/>
      <c r="S73" s="8"/>
      <c r="T73" s="8"/>
      <c r="U73" s="8"/>
    </row>
    <row r="74" spans="1:21" ht="16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495</v>
      </c>
      <c r="F74" s="4" t="s">
        <v>503</v>
      </c>
      <c r="G74" s="5"/>
      <c r="H74" s="4" t="s">
        <v>504</v>
      </c>
      <c r="I74" s="4" t="s">
        <v>18</v>
      </c>
      <c r="J74" s="6" t="str">
        <f t="shared" si="3"/>
        <v>https://www.ncbi.nlm.nih.gov/datasets/genome/GCA_024500355.1</v>
      </c>
      <c r="K74" s="7" t="s">
        <v>505</v>
      </c>
      <c r="L74" s="4"/>
      <c r="M74" s="8"/>
      <c r="N74" s="8"/>
      <c r="O74" s="8"/>
      <c r="P74" s="8"/>
      <c r="Q74" s="8"/>
      <c r="R74" s="8"/>
      <c r="S74" s="8"/>
      <c r="T74" s="8"/>
      <c r="U74" s="8"/>
    </row>
    <row r="75" spans="1:21" ht="16">
      <c r="A75" s="13"/>
      <c r="B75" s="16" t="s">
        <v>506</v>
      </c>
      <c r="C75" s="17" t="s">
        <v>507</v>
      </c>
      <c r="D75" s="11" t="s">
        <v>508</v>
      </c>
      <c r="E75" s="11" t="s">
        <v>509</v>
      </c>
      <c r="F75" s="4"/>
      <c r="G75" s="5" t="s">
        <v>510</v>
      </c>
      <c r="H75" s="4" t="s">
        <v>237</v>
      </c>
      <c r="I75" s="4" t="s">
        <v>245</v>
      </c>
      <c r="J75" s="14" t="s">
        <v>511</v>
      </c>
      <c r="K75" s="15" t="s">
        <v>512</v>
      </c>
      <c r="L75" s="4"/>
      <c r="M75" s="8"/>
      <c r="N75" s="8"/>
      <c r="O75" s="8"/>
      <c r="P75" s="8"/>
      <c r="Q75" s="8"/>
      <c r="R75" s="8"/>
      <c r="S75" s="8"/>
      <c r="T75" s="8"/>
      <c r="U75" s="8"/>
    </row>
    <row r="76" spans="1:21" ht="16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5"/>
      <c r="H76" s="4" t="s">
        <v>17</v>
      </c>
      <c r="I76" s="4" t="s">
        <v>18</v>
      </c>
      <c r="J76" s="6" t="str">
        <f t="shared" ref="J76:J99" si="4">"https://www.ncbi.nlm.nih.gov/datasets/genome/" &amp; A76</f>
        <v>https://www.ncbi.nlm.nih.gov/datasets/genome/GCA_036346375.1</v>
      </c>
      <c r="K76" s="9" t="s">
        <v>125</v>
      </c>
      <c r="L76" s="4"/>
      <c r="M76" s="8"/>
      <c r="N76" s="8"/>
      <c r="O76" s="8"/>
      <c r="P76" s="8"/>
      <c r="Q76" s="8"/>
      <c r="R76" s="8"/>
      <c r="S76" s="8"/>
      <c r="T76" s="8"/>
      <c r="U76" s="8"/>
    </row>
    <row r="77" spans="1:21" ht="16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/>
      <c r="G77" s="5"/>
      <c r="H77" s="4" t="s">
        <v>524</v>
      </c>
      <c r="I77" s="4" t="s">
        <v>18</v>
      </c>
      <c r="J77" s="6" t="str">
        <f t="shared" si="4"/>
        <v>https://www.ncbi.nlm.nih.gov/datasets/genome/GCA_963506655.1</v>
      </c>
      <c r="K77" s="15" t="s">
        <v>525</v>
      </c>
      <c r="L77" s="4"/>
      <c r="M77" s="8"/>
      <c r="N77" s="8"/>
      <c r="O77" s="8"/>
      <c r="P77" s="8"/>
      <c r="Q77" s="8"/>
      <c r="R77" s="8"/>
      <c r="S77" s="8"/>
      <c r="T77" s="8"/>
      <c r="U77" s="8"/>
    </row>
    <row r="78" spans="1:21" ht="16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523</v>
      </c>
      <c r="F78" s="4"/>
      <c r="G78" s="5"/>
      <c r="H78" s="4" t="s">
        <v>524</v>
      </c>
      <c r="I78" s="4" t="s">
        <v>18</v>
      </c>
      <c r="J78" s="6" t="str">
        <f t="shared" si="4"/>
        <v>https://www.ncbi.nlm.nih.gov/datasets/genome/GCA_963506745.1</v>
      </c>
      <c r="K78" s="15" t="s">
        <v>525</v>
      </c>
      <c r="L78" s="4"/>
      <c r="M78" s="8"/>
      <c r="N78" s="8"/>
      <c r="O78" s="8"/>
      <c r="P78" s="8"/>
      <c r="Q78" s="8"/>
      <c r="R78" s="8"/>
      <c r="S78" s="8"/>
      <c r="T78" s="8"/>
      <c r="U78" s="8"/>
    </row>
    <row r="79" spans="1:21" ht="16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523</v>
      </c>
      <c r="F79" s="4"/>
      <c r="G79" s="5"/>
      <c r="H79" s="4" t="s">
        <v>524</v>
      </c>
      <c r="I79" s="4" t="s">
        <v>18</v>
      </c>
      <c r="J79" s="6" t="str">
        <f t="shared" si="4"/>
        <v>https://www.ncbi.nlm.nih.gov/datasets/genome/GCA_963506665.1</v>
      </c>
      <c r="K79" s="15" t="s">
        <v>525</v>
      </c>
      <c r="L79" s="4"/>
      <c r="M79" s="8"/>
      <c r="N79" s="8"/>
      <c r="O79" s="8"/>
      <c r="P79" s="8"/>
      <c r="Q79" s="8"/>
      <c r="R79" s="8"/>
      <c r="S79" s="8"/>
      <c r="T79" s="8"/>
      <c r="U79" s="8"/>
    </row>
    <row r="80" spans="1:21" ht="16">
      <c r="A80" s="4" t="s">
        <v>534</v>
      </c>
      <c r="B80" s="4" t="s">
        <v>535</v>
      </c>
      <c r="C80" s="4" t="s">
        <v>536</v>
      </c>
      <c r="D80" s="4" t="s">
        <v>537</v>
      </c>
      <c r="E80" s="4" t="s">
        <v>523</v>
      </c>
      <c r="F80" s="4"/>
      <c r="G80" s="5"/>
      <c r="H80" s="4" t="s">
        <v>524</v>
      </c>
      <c r="I80" s="4" t="s">
        <v>18</v>
      </c>
      <c r="J80" s="6" t="str">
        <f t="shared" si="4"/>
        <v>https://www.ncbi.nlm.nih.gov/datasets/genome/GCA_963506645.1</v>
      </c>
      <c r="K80" s="15" t="s">
        <v>525</v>
      </c>
      <c r="L80" s="4"/>
      <c r="M80" s="8"/>
      <c r="N80" s="8"/>
      <c r="O80" s="8"/>
      <c r="P80" s="8"/>
      <c r="Q80" s="8"/>
      <c r="R80" s="8"/>
      <c r="S80" s="8"/>
      <c r="T80" s="8"/>
      <c r="U80" s="8"/>
    </row>
    <row r="81" spans="1:21" ht="16">
      <c r="A81" s="4" t="s">
        <v>538</v>
      </c>
      <c r="B81" s="4" t="s">
        <v>539</v>
      </c>
      <c r="C81" s="4" t="s">
        <v>540</v>
      </c>
      <c r="D81" s="4" t="s">
        <v>541</v>
      </c>
      <c r="E81" s="4" t="s">
        <v>523</v>
      </c>
      <c r="F81" s="4"/>
      <c r="G81" s="5"/>
      <c r="H81" s="4" t="s">
        <v>524</v>
      </c>
      <c r="I81" s="4" t="s">
        <v>18</v>
      </c>
      <c r="J81" s="6" t="str">
        <f t="shared" si="4"/>
        <v>https://www.ncbi.nlm.nih.gov/datasets/genome/GCA_963506695.1</v>
      </c>
      <c r="K81" s="15" t="s">
        <v>525</v>
      </c>
      <c r="L81" s="4"/>
      <c r="M81" s="8"/>
      <c r="N81" s="8"/>
      <c r="O81" s="8"/>
      <c r="P81" s="8"/>
      <c r="Q81" s="8"/>
      <c r="R81" s="8"/>
      <c r="S81" s="8"/>
      <c r="T81" s="8"/>
      <c r="U81" s="8"/>
    </row>
    <row r="82" spans="1:21" ht="16">
      <c r="A82" s="4" t="s">
        <v>542</v>
      </c>
      <c r="B82" s="4" t="s">
        <v>543</v>
      </c>
      <c r="C82" s="4" t="s">
        <v>544</v>
      </c>
      <c r="D82" s="4" t="s">
        <v>545</v>
      </c>
      <c r="E82" s="4" t="s">
        <v>546</v>
      </c>
      <c r="F82" s="4" t="s">
        <v>547</v>
      </c>
      <c r="G82" s="5"/>
      <c r="H82" s="4" t="s">
        <v>548</v>
      </c>
      <c r="I82" s="4" t="s">
        <v>18</v>
      </c>
      <c r="J82" s="6" t="str">
        <f t="shared" si="4"/>
        <v>https://www.ncbi.nlm.nih.gov/datasets/genome/GCA_022496015.1</v>
      </c>
      <c r="K82" s="4" t="s">
        <v>549</v>
      </c>
      <c r="L82" s="4"/>
      <c r="M82" s="8"/>
      <c r="N82" s="8"/>
      <c r="O82" s="8"/>
      <c r="P82" s="8"/>
      <c r="Q82" s="8"/>
      <c r="R82" s="8"/>
      <c r="S82" s="8"/>
      <c r="T82" s="8"/>
      <c r="U82" s="8"/>
    </row>
    <row r="83" spans="1:21" ht="16">
      <c r="A83" s="4" t="s">
        <v>550</v>
      </c>
      <c r="B83" s="4" t="s">
        <v>551</v>
      </c>
      <c r="C83" s="4" t="s">
        <v>552</v>
      </c>
      <c r="D83" s="4" t="s">
        <v>553</v>
      </c>
      <c r="E83" s="4" t="s">
        <v>554</v>
      </c>
      <c r="F83" s="4" t="s">
        <v>555</v>
      </c>
      <c r="G83" s="5"/>
      <c r="H83" s="4" t="s">
        <v>31</v>
      </c>
      <c r="I83" s="4" t="s">
        <v>18</v>
      </c>
      <c r="J83" s="6" t="str">
        <f t="shared" si="4"/>
        <v>https://www.ncbi.nlm.nih.gov/datasets/genome/GCA_904849725.1</v>
      </c>
      <c r="K83" s="15" t="s">
        <v>556</v>
      </c>
      <c r="L83" s="4"/>
      <c r="M83" s="8"/>
      <c r="N83" s="8"/>
      <c r="O83" s="8"/>
      <c r="P83" s="8"/>
      <c r="Q83" s="8"/>
      <c r="R83" s="8"/>
      <c r="S83" s="8"/>
      <c r="T83" s="8"/>
      <c r="U83" s="8"/>
    </row>
    <row r="84" spans="1:21" ht="16">
      <c r="A84" s="4" t="s">
        <v>557</v>
      </c>
      <c r="B84" s="4" t="s">
        <v>558</v>
      </c>
      <c r="C84" s="4" t="s">
        <v>559</v>
      </c>
      <c r="D84" s="4" t="s">
        <v>560</v>
      </c>
      <c r="E84" s="4" t="s">
        <v>554</v>
      </c>
      <c r="F84" s="4"/>
      <c r="G84" s="5"/>
      <c r="H84" s="4" t="s">
        <v>524</v>
      </c>
      <c r="I84" s="4" t="s">
        <v>18</v>
      </c>
      <c r="J84" s="6" t="str">
        <f t="shared" si="4"/>
        <v>https://www.ncbi.nlm.nih.gov/datasets/genome/GCA_949783385.1</v>
      </c>
      <c r="K84" s="9" t="s">
        <v>561</v>
      </c>
      <c r="L84" s="4"/>
      <c r="M84" s="8"/>
      <c r="N84" s="8"/>
      <c r="O84" s="8"/>
      <c r="P84" s="8"/>
      <c r="Q84" s="8"/>
      <c r="R84" s="8"/>
      <c r="S84" s="8"/>
      <c r="T84" s="8"/>
      <c r="U84" s="8"/>
    </row>
    <row r="85" spans="1:21" ht="16">
      <c r="A85" s="4" t="s">
        <v>562</v>
      </c>
      <c r="B85" s="4" t="s">
        <v>563</v>
      </c>
      <c r="C85" s="4" t="s">
        <v>564</v>
      </c>
      <c r="D85" s="4" t="s">
        <v>565</v>
      </c>
      <c r="E85" s="4" t="s">
        <v>554</v>
      </c>
      <c r="F85" s="4"/>
      <c r="G85" s="5"/>
      <c r="H85" s="4" t="s">
        <v>524</v>
      </c>
      <c r="I85" s="4" t="s">
        <v>18</v>
      </c>
      <c r="J85" s="6" t="str">
        <f t="shared" si="4"/>
        <v>https://www.ncbi.nlm.nih.gov/datasets/genome/GCA_949783345.1</v>
      </c>
      <c r="K85" s="9" t="s">
        <v>561</v>
      </c>
      <c r="L85" s="4"/>
      <c r="M85" s="8"/>
      <c r="N85" s="8"/>
      <c r="O85" s="8"/>
      <c r="P85" s="8"/>
      <c r="Q85" s="8"/>
      <c r="R85" s="8"/>
      <c r="S85" s="8"/>
      <c r="T85" s="8"/>
      <c r="U85" s="8"/>
    </row>
    <row r="86" spans="1:21" ht="16">
      <c r="A86" s="4" t="s">
        <v>566</v>
      </c>
      <c r="B86" s="4" t="s">
        <v>567</v>
      </c>
      <c r="C86" s="4" t="s">
        <v>568</v>
      </c>
      <c r="D86" s="4" t="s">
        <v>569</v>
      </c>
      <c r="E86" s="4" t="s">
        <v>554</v>
      </c>
      <c r="F86" s="4"/>
      <c r="G86" s="5"/>
      <c r="H86" s="4" t="s">
        <v>524</v>
      </c>
      <c r="I86" s="4" t="s">
        <v>18</v>
      </c>
      <c r="J86" s="6" t="str">
        <f t="shared" si="4"/>
        <v>https://www.ncbi.nlm.nih.gov/datasets/genome/GCA_949783405.1</v>
      </c>
      <c r="K86" s="9" t="s">
        <v>561</v>
      </c>
      <c r="L86" s="4"/>
      <c r="M86" s="8"/>
      <c r="N86" s="8"/>
      <c r="O86" s="8"/>
      <c r="P86" s="8"/>
      <c r="Q86" s="8"/>
      <c r="R86" s="8"/>
      <c r="S86" s="8"/>
      <c r="T86" s="8"/>
      <c r="U86" s="8"/>
    </row>
    <row r="87" spans="1:21" ht="16">
      <c r="A87" s="4" t="s">
        <v>570</v>
      </c>
      <c r="B87" s="4" t="s">
        <v>571</v>
      </c>
      <c r="C87" s="4" t="s">
        <v>572</v>
      </c>
      <c r="D87" s="4" t="s">
        <v>573</v>
      </c>
      <c r="E87" s="4" t="s">
        <v>554</v>
      </c>
      <c r="F87" s="4" t="s">
        <v>574</v>
      </c>
      <c r="G87" s="5"/>
      <c r="H87" s="4" t="s">
        <v>524</v>
      </c>
      <c r="I87" s="4" t="s">
        <v>18</v>
      </c>
      <c r="J87" s="6" t="str">
        <f t="shared" si="4"/>
        <v>https://www.ncbi.nlm.nih.gov/datasets/genome/GCA_949783245.1</v>
      </c>
      <c r="K87" s="9" t="s">
        <v>561</v>
      </c>
      <c r="L87" s="4"/>
      <c r="M87" s="8"/>
      <c r="N87" s="8"/>
      <c r="O87" s="8"/>
      <c r="P87" s="8"/>
      <c r="Q87" s="8"/>
      <c r="R87" s="8"/>
      <c r="S87" s="8"/>
      <c r="T87" s="8"/>
      <c r="U87" s="8"/>
    </row>
    <row r="88" spans="1:21" ht="16">
      <c r="A88" s="4" t="s">
        <v>575</v>
      </c>
      <c r="B88" s="4" t="s">
        <v>576</v>
      </c>
      <c r="C88" s="4" t="s">
        <v>577</v>
      </c>
      <c r="D88" s="4" t="s">
        <v>578</v>
      </c>
      <c r="E88" s="4" t="s">
        <v>579</v>
      </c>
      <c r="F88" s="4" t="s">
        <v>580</v>
      </c>
      <c r="G88" s="5"/>
      <c r="H88" s="4" t="s">
        <v>17</v>
      </c>
      <c r="I88" s="4" t="s">
        <v>18</v>
      </c>
      <c r="J88" s="6" t="str">
        <f t="shared" si="4"/>
        <v>https://www.ncbi.nlm.nih.gov/datasets/genome/GCA_036346395.1</v>
      </c>
      <c r="K88" s="9" t="s">
        <v>125</v>
      </c>
      <c r="L88" s="4"/>
      <c r="M88" s="8"/>
      <c r="N88" s="8"/>
      <c r="O88" s="8"/>
      <c r="P88" s="8"/>
      <c r="Q88" s="8"/>
      <c r="R88" s="8"/>
      <c r="S88" s="8"/>
      <c r="T88" s="8"/>
      <c r="U88" s="8"/>
    </row>
    <row r="89" spans="1:21" ht="16">
      <c r="A89" s="4" t="s">
        <v>581</v>
      </c>
      <c r="B89" s="4" t="s">
        <v>582</v>
      </c>
      <c r="C89" s="4" t="s">
        <v>583</v>
      </c>
      <c r="D89" s="4" t="s">
        <v>584</v>
      </c>
      <c r="E89" s="4" t="s">
        <v>585</v>
      </c>
      <c r="F89" s="4" t="s">
        <v>586</v>
      </c>
      <c r="G89" s="5"/>
      <c r="H89" s="4" t="s">
        <v>326</v>
      </c>
      <c r="I89" s="4" t="s">
        <v>18</v>
      </c>
      <c r="J89" s="6" t="str">
        <f t="shared" si="4"/>
        <v>https://www.ncbi.nlm.nih.gov/datasets/genome/GCA_015847255.1</v>
      </c>
      <c r="K89" s="7" t="s">
        <v>587</v>
      </c>
      <c r="L89" s="4"/>
      <c r="M89" s="8"/>
      <c r="N89" s="8"/>
      <c r="O89" s="8"/>
      <c r="P89" s="8"/>
      <c r="Q89" s="8"/>
      <c r="R89" s="8"/>
      <c r="S89" s="8"/>
      <c r="T89" s="8"/>
      <c r="U89" s="8"/>
    </row>
    <row r="90" spans="1:21" ht="16">
      <c r="A90" s="4" t="s">
        <v>588</v>
      </c>
      <c r="B90" s="4" t="s">
        <v>589</v>
      </c>
      <c r="C90" s="4" t="s">
        <v>590</v>
      </c>
      <c r="D90" s="4" t="s">
        <v>591</v>
      </c>
      <c r="E90" s="4" t="s">
        <v>592</v>
      </c>
      <c r="F90" s="4"/>
      <c r="G90" s="5"/>
      <c r="H90" s="4" t="s">
        <v>197</v>
      </c>
      <c r="I90" s="4" t="s">
        <v>18</v>
      </c>
      <c r="J90" s="6" t="str">
        <f t="shared" si="4"/>
        <v>https://www.ncbi.nlm.nih.gov/datasets/genome/GCA_000325765.3</v>
      </c>
      <c r="K90" s="9" t="s">
        <v>593</v>
      </c>
      <c r="L90" s="4"/>
      <c r="M90" s="8"/>
      <c r="N90" s="8"/>
      <c r="O90" s="8"/>
      <c r="P90" s="8"/>
      <c r="Q90" s="8"/>
      <c r="R90" s="8"/>
      <c r="S90" s="8"/>
      <c r="T90" s="8"/>
      <c r="U90" s="8"/>
    </row>
    <row r="91" spans="1:21" ht="16">
      <c r="A91" s="4" t="s">
        <v>594</v>
      </c>
      <c r="B91" s="4" t="s">
        <v>595</v>
      </c>
      <c r="C91" s="4" t="s">
        <v>596</v>
      </c>
      <c r="D91" s="4" t="s">
        <v>597</v>
      </c>
      <c r="E91" s="4" t="s">
        <v>598</v>
      </c>
      <c r="F91" s="4" t="s">
        <v>599</v>
      </c>
      <c r="G91" s="5"/>
      <c r="H91" s="4" t="s">
        <v>600</v>
      </c>
      <c r="I91" s="4" t="s">
        <v>18</v>
      </c>
      <c r="J91" s="6" t="str">
        <f t="shared" si="4"/>
        <v>https://www.ncbi.nlm.nih.gov/datasets/genome/GCA_030979885.1</v>
      </c>
      <c r="K91" s="7" t="s">
        <v>601</v>
      </c>
      <c r="L91" s="4"/>
      <c r="M91" s="8"/>
      <c r="N91" s="8"/>
      <c r="O91" s="8"/>
      <c r="P91" s="8"/>
      <c r="Q91" s="8"/>
      <c r="R91" s="8"/>
      <c r="S91" s="8"/>
      <c r="T91" s="8"/>
      <c r="U91" s="8"/>
    </row>
    <row r="92" spans="1:21" ht="16">
      <c r="A92" s="4" t="s">
        <v>602</v>
      </c>
      <c r="B92" s="4" t="s">
        <v>603</v>
      </c>
      <c r="C92" s="4" t="s">
        <v>604</v>
      </c>
      <c r="D92" s="4" t="s">
        <v>605</v>
      </c>
      <c r="E92" s="4" t="s">
        <v>606</v>
      </c>
      <c r="F92" s="4" t="s">
        <v>607</v>
      </c>
      <c r="G92" s="5"/>
      <c r="H92" s="4" t="s">
        <v>608</v>
      </c>
      <c r="I92" s="4" t="s">
        <v>18</v>
      </c>
      <c r="J92" s="6" t="str">
        <f t="shared" si="4"/>
        <v>https://www.ncbi.nlm.nih.gov/datasets/genome/GCA_019359855.1</v>
      </c>
      <c r="K92" s="17" t="s">
        <v>609</v>
      </c>
      <c r="L92" s="4"/>
      <c r="M92" s="8"/>
      <c r="N92" s="8"/>
      <c r="O92" s="8"/>
      <c r="P92" s="8"/>
      <c r="Q92" s="8"/>
      <c r="R92" s="8"/>
      <c r="S92" s="8"/>
      <c r="T92" s="8"/>
      <c r="U92" s="8"/>
    </row>
    <row r="93" spans="1:21" ht="16">
      <c r="A93" s="4" t="s">
        <v>610</v>
      </c>
      <c r="B93" s="4" t="s">
        <v>611</v>
      </c>
      <c r="C93" s="4" t="s">
        <v>612</v>
      </c>
      <c r="D93" s="4" t="s">
        <v>613</v>
      </c>
      <c r="E93" s="4" t="s">
        <v>606</v>
      </c>
      <c r="F93" s="18">
        <v>964486</v>
      </c>
      <c r="G93" s="5"/>
      <c r="H93" s="4" t="s">
        <v>614</v>
      </c>
      <c r="I93" s="4" t="s">
        <v>18</v>
      </c>
      <c r="J93" s="6" t="str">
        <f t="shared" si="4"/>
        <v>https://www.ncbi.nlm.nih.gov/datasets/genome/GCA_001735685.1</v>
      </c>
      <c r="K93" s="15" t="s">
        <v>615</v>
      </c>
      <c r="L93" s="4"/>
      <c r="M93" s="8"/>
      <c r="N93" s="8"/>
      <c r="O93" s="8"/>
      <c r="P93" s="8"/>
      <c r="Q93" s="8"/>
      <c r="R93" s="8"/>
      <c r="S93" s="8"/>
      <c r="T93" s="8"/>
      <c r="U93" s="8"/>
    </row>
    <row r="94" spans="1:21" ht="16">
      <c r="A94" s="4" t="s">
        <v>616</v>
      </c>
      <c r="B94" s="4" t="s">
        <v>617</v>
      </c>
      <c r="C94" s="4" t="s">
        <v>618</v>
      </c>
      <c r="D94" s="4" t="s">
        <v>619</v>
      </c>
      <c r="E94" s="4" t="s">
        <v>620</v>
      </c>
      <c r="F94" s="4" t="s">
        <v>621</v>
      </c>
      <c r="G94" s="5"/>
      <c r="H94" s="4" t="s">
        <v>622</v>
      </c>
      <c r="I94" s="4" t="s">
        <v>18</v>
      </c>
      <c r="J94" s="6" t="str">
        <f t="shared" si="4"/>
        <v>https://www.ncbi.nlm.nih.gov/datasets/genome/GCA_022539505.1</v>
      </c>
      <c r="K94" s="15" t="s">
        <v>623</v>
      </c>
      <c r="L94" s="4"/>
      <c r="M94" s="8"/>
      <c r="N94" s="8"/>
      <c r="O94" s="8"/>
      <c r="P94" s="8"/>
      <c r="Q94" s="8"/>
      <c r="R94" s="8"/>
      <c r="S94" s="8"/>
      <c r="T94" s="8"/>
      <c r="U94" s="8"/>
    </row>
    <row r="95" spans="1:21" ht="16">
      <c r="A95" s="4" t="s">
        <v>624</v>
      </c>
      <c r="B95" s="4" t="s">
        <v>625</v>
      </c>
      <c r="C95" s="4" t="s">
        <v>626</v>
      </c>
      <c r="D95" s="4" t="s">
        <v>627</v>
      </c>
      <c r="E95" s="4" t="s">
        <v>628</v>
      </c>
      <c r="F95" s="4" t="s">
        <v>629</v>
      </c>
      <c r="G95" s="5"/>
      <c r="H95" s="4" t="s">
        <v>17</v>
      </c>
      <c r="I95" s="4" t="s">
        <v>18</v>
      </c>
      <c r="J95" s="6" t="str">
        <f t="shared" si="4"/>
        <v>https://www.ncbi.nlm.nih.gov/datasets/genome/GCA_036346265.1</v>
      </c>
      <c r="K95" s="9" t="s">
        <v>125</v>
      </c>
      <c r="L95" s="4"/>
      <c r="M95" s="8"/>
      <c r="N95" s="8"/>
      <c r="O95" s="8"/>
      <c r="P95" s="8"/>
      <c r="Q95" s="8"/>
      <c r="R95" s="8"/>
      <c r="S95" s="8"/>
      <c r="T95" s="8"/>
      <c r="U95" s="8"/>
    </row>
    <row r="96" spans="1:21" ht="16">
      <c r="A96" s="4" t="s">
        <v>630</v>
      </c>
      <c r="B96" s="4" t="s">
        <v>631</v>
      </c>
      <c r="C96" s="4" t="s">
        <v>632</v>
      </c>
      <c r="D96" s="4" t="s">
        <v>633</v>
      </c>
      <c r="E96" s="4" t="s">
        <v>634</v>
      </c>
      <c r="F96" s="4"/>
      <c r="G96" s="5"/>
      <c r="H96" s="4" t="s">
        <v>635</v>
      </c>
      <c r="I96" s="4" t="s">
        <v>18</v>
      </c>
      <c r="J96" s="6" t="str">
        <f t="shared" si="4"/>
        <v>https://www.ncbi.nlm.nih.gov/datasets/genome/GCA_022036555.1</v>
      </c>
      <c r="K96" s="7" t="s">
        <v>636</v>
      </c>
      <c r="L96" s="4"/>
      <c r="M96" s="8"/>
      <c r="N96" s="8"/>
      <c r="O96" s="8"/>
      <c r="P96" s="8"/>
      <c r="Q96" s="8"/>
      <c r="R96" s="8"/>
      <c r="S96" s="8"/>
      <c r="T96" s="8"/>
      <c r="U96" s="8"/>
    </row>
    <row r="97" spans="1:21" ht="16">
      <c r="A97" s="4" t="s">
        <v>637</v>
      </c>
      <c r="B97" s="4" t="s">
        <v>638</v>
      </c>
      <c r="C97" s="4" t="s">
        <v>639</v>
      </c>
      <c r="D97" s="4" t="s">
        <v>640</v>
      </c>
      <c r="E97" s="4" t="s">
        <v>641</v>
      </c>
      <c r="F97" s="4" t="s">
        <v>642</v>
      </c>
      <c r="G97" s="5"/>
      <c r="H97" s="4" t="s">
        <v>643</v>
      </c>
      <c r="I97" s="4" t="s">
        <v>18</v>
      </c>
      <c r="J97" s="6" t="str">
        <f t="shared" si="4"/>
        <v>https://www.ncbi.nlm.nih.gov/datasets/genome/GCA_019320115.1</v>
      </c>
      <c r="K97" s="7" t="s">
        <v>644</v>
      </c>
      <c r="L97" s="4"/>
      <c r="M97" s="8"/>
      <c r="N97" s="8"/>
      <c r="O97" s="8"/>
      <c r="P97" s="8"/>
      <c r="Q97" s="8"/>
      <c r="R97" s="8"/>
      <c r="S97" s="8"/>
      <c r="T97" s="8"/>
      <c r="U97" s="8"/>
    </row>
    <row r="98" spans="1:21" ht="16">
      <c r="A98" s="4" t="s">
        <v>645</v>
      </c>
      <c r="B98" s="4" t="s">
        <v>646</v>
      </c>
      <c r="C98" s="4" t="s">
        <v>647</v>
      </c>
      <c r="D98" s="4" t="s">
        <v>648</v>
      </c>
      <c r="E98" s="4" t="s">
        <v>649</v>
      </c>
      <c r="F98" s="4"/>
      <c r="G98" s="5"/>
      <c r="H98" s="4" t="s">
        <v>31</v>
      </c>
      <c r="I98" s="4" t="s">
        <v>18</v>
      </c>
      <c r="J98" s="6" t="str">
        <f t="shared" si="4"/>
        <v>https://www.ncbi.nlm.nih.gov/datasets/genome/GCA_904845875.1</v>
      </c>
      <c r="K98" s="9" t="s">
        <v>650</v>
      </c>
      <c r="L98" s="4"/>
      <c r="M98" s="8"/>
      <c r="N98" s="8"/>
      <c r="O98" s="8"/>
      <c r="P98" s="8"/>
      <c r="Q98" s="8"/>
      <c r="R98" s="8"/>
      <c r="S98" s="8"/>
      <c r="T98" s="8"/>
      <c r="U98" s="8"/>
    </row>
    <row r="99" spans="1:21" ht="16">
      <c r="A99" s="4" t="s">
        <v>651</v>
      </c>
      <c r="B99" s="4" t="s">
        <v>652</v>
      </c>
      <c r="C99" s="4" t="s">
        <v>653</v>
      </c>
      <c r="D99" s="4" t="s">
        <v>654</v>
      </c>
      <c r="E99" s="4" t="s">
        <v>655</v>
      </c>
      <c r="F99" s="4" t="s">
        <v>656</v>
      </c>
      <c r="G99" s="5"/>
      <c r="H99" s="4" t="s">
        <v>197</v>
      </c>
      <c r="I99" s="4" t="s">
        <v>18</v>
      </c>
      <c r="J99" s="6" t="str">
        <f t="shared" si="4"/>
        <v>https://www.ncbi.nlm.nih.gov/datasets/genome/GCA_002993905.1</v>
      </c>
      <c r="K99" s="4" t="s">
        <v>657</v>
      </c>
      <c r="L99" s="4"/>
      <c r="M99" s="8"/>
      <c r="N99" s="8"/>
      <c r="O99" s="8"/>
      <c r="P99" s="8"/>
      <c r="Q99" s="8"/>
      <c r="R99" s="8"/>
      <c r="S99" s="8"/>
      <c r="T99" s="8"/>
      <c r="U99" s="8"/>
    </row>
    <row r="100" spans="1:21" ht="16">
      <c r="A100" s="13"/>
      <c r="B100" s="11" t="s">
        <v>658</v>
      </c>
      <c r="C100" s="11" t="s">
        <v>658</v>
      </c>
      <c r="D100" s="11" t="s">
        <v>659</v>
      </c>
      <c r="E100" s="11" t="s">
        <v>660</v>
      </c>
      <c r="F100" s="11" t="s">
        <v>661</v>
      </c>
      <c r="G100" s="5" t="s">
        <v>662</v>
      </c>
      <c r="H100" s="4" t="s">
        <v>204</v>
      </c>
      <c r="I100" s="4" t="s">
        <v>205</v>
      </c>
      <c r="J100" s="14" t="s">
        <v>663</v>
      </c>
      <c r="K100" s="15" t="s">
        <v>664</v>
      </c>
      <c r="L100" s="4"/>
      <c r="M100" s="8"/>
      <c r="N100" s="8"/>
      <c r="O100" s="8"/>
      <c r="P100" s="8"/>
      <c r="Q100" s="8"/>
      <c r="R100" s="8"/>
      <c r="S100" s="8"/>
      <c r="T100" s="8"/>
      <c r="U100" s="8"/>
    </row>
    <row r="101" spans="1:21" ht="16">
      <c r="A101" s="4" t="s">
        <v>665</v>
      </c>
      <c r="B101" s="4" t="s">
        <v>666</v>
      </c>
      <c r="C101" s="4" t="s">
        <v>667</v>
      </c>
      <c r="D101" s="4" t="s">
        <v>668</v>
      </c>
      <c r="E101" s="4" t="s">
        <v>669</v>
      </c>
      <c r="F101" s="4" t="s">
        <v>670</v>
      </c>
      <c r="G101" s="5"/>
      <c r="H101" s="4" t="s">
        <v>671</v>
      </c>
      <c r="I101" s="4" t="s">
        <v>18</v>
      </c>
      <c r="J101" s="6" t="str">
        <f t="shared" ref="J101:J103" si="5">"https://www.ncbi.nlm.nih.gov/datasets/genome/" &amp; A101</f>
        <v>https://www.ncbi.nlm.nih.gov/datasets/genome/GCA_030760725.1</v>
      </c>
      <c r="K101" s="4" t="s">
        <v>364</v>
      </c>
      <c r="L101" s="4"/>
      <c r="M101" s="8"/>
      <c r="N101" s="8"/>
      <c r="O101" s="8"/>
      <c r="P101" s="8"/>
      <c r="Q101" s="8"/>
      <c r="R101" s="8"/>
      <c r="S101" s="8"/>
      <c r="T101" s="8"/>
      <c r="U101" s="8"/>
    </row>
    <row r="102" spans="1:21" ht="16">
      <c r="A102" s="4" t="s">
        <v>672</v>
      </c>
      <c r="B102" s="4" t="s">
        <v>673</v>
      </c>
      <c r="C102" s="4" t="s">
        <v>674</v>
      </c>
      <c r="D102" s="4" t="s">
        <v>675</v>
      </c>
      <c r="E102" s="4" t="s">
        <v>669</v>
      </c>
      <c r="F102" s="4" t="s">
        <v>670</v>
      </c>
      <c r="G102" s="5"/>
      <c r="H102" s="4" t="s">
        <v>671</v>
      </c>
      <c r="I102" s="4" t="s">
        <v>18</v>
      </c>
      <c r="J102" s="6" t="str">
        <f t="shared" si="5"/>
        <v>https://www.ncbi.nlm.nih.gov/datasets/genome/GCA_030760685.1</v>
      </c>
      <c r="K102" s="4" t="s">
        <v>364</v>
      </c>
      <c r="L102" s="4"/>
      <c r="M102" s="8"/>
      <c r="N102" s="8"/>
      <c r="O102" s="8"/>
      <c r="P102" s="8"/>
      <c r="Q102" s="8"/>
      <c r="R102" s="8"/>
      <c r="S102" s="8"/>
      <c r="T102" s="8"/>
      <c r="U102" s="8"/>
    </row>
    <row r="103" spans="1:21" ht="16">
      <c r="A103" s="4" t="s">
        <v>676</v>
      </c>
      <c r="B103" s="4" t="s">
        <v>677</v>
      </c>
      <c r="C103" s="4" t="s">
        <v>678</v>
      </c>
      <c r="D103" s="4" t="s">
        <v>679</v>
      </c>
      <c r="E103" s="4" t="s">
        <v>680</v>
      </c>
      <c r="F103" s="10">
        <v>14001</v>
      </c>
      <c r="G103" s="5"/>
      <c r="H103" s="4" t="s">
        <v>17</v>
      </c>
      <c r="I103" s="4" t="s">
        <v>18</v>
      </c>
      <c r="J103" s="6" t="str">
        <f t="shared" si="5"/>
        <v>https://www.ncbi.nlm.nih.gov/datasets/genome/GCA_036346145.1</v>
      </c>
      <c r="K103" s="9" t="s">
        <v>125</v>
      </c>
      <c r="L103" s="4"/>
      <c r="M103" s="8"/>
      <c r="N103" s="8"/>
      <c r="O103" s="8"/>
      <c r="P103" s="8"/>
      <c r="Q103" s="8"/>
      <c r="R103" s="8"/>
      <c r="S103" s="8"/>
      <c r="T103" s="8"/>
      <c r="U103" s="8"/>
    </row>
    <row r="104" spans="1:21" ht="16">
      <c r="A104" s="16"/>
      <c r="B104" s="16" t="s">
        <v>681</v>
      </c>
      <c r="C104" s="16" t="s">
        <v>682</v>
      </c>
      <c r="D104" s="4" t="s">
        <v>683</v>
      </c>
      <c r="E104" s="4" t="s">
        <v>684</v>
      </c>
      <c r="F104" s="4"/>
      <c r="G104" s="5" t="s">
        <v>685</v>
      </c>
      <c r="H104" s="4" t="s">
        <v>237</v>
      </c>
      <c r="I104" s="4" t="s">
        <v>245</v>
      </c>
      <c r="J104" s="14" t="s">
        <v>686</v>
      </c>
      <c r="K104" s="15" t="s">
        <v>687</v>
      </c>
      <c r="L104" s="4"/>
      <c r="M104" s="8"/>
      <c r="N104" s="8"/>
      <c r="O104" s="8"/>
      <c r="P104" s="8"/>
      <c r="Q104" s="8"/>
      <c r="R104" s="8"/>
      <c r="S104" s="8"/>
      <c r="T104" s="8"/>
      <c r="U104" s="8"/>
    </row>
    <row r="105" spans="1:21" ht="16">
      <c r="A105" s="4" t="s">
        <v>688</v>
      </c>
      <c r="B105" s="4" t="s">
        <v>689</v>
      </c>
      <c r="C105" s="4" t="s">
        <v>690</v>
      </c>
      <c r="D105" s="4" t="s">
        <v>691</v>
      </c>
      <c r="E105" s="4" t="s">
        <v>692</v>
      </c>
      <c r="F105" s="4"/>
      <c r="G105" s="5"/>
      <c r="H105" s="4" t="s">
        <v>71</v>
      </c>
      <c r="I105" s="4" t="s">
        <v>18</v>
      </c>
      <c r="J105" s="6" t="str">
        <f t="shared" ref="J105:J154" si="6">"https://www.ncbi.nlm.nih.gov/datasets/genome/" &amp; A105</f>
        <v>https://www.ncbi.nlm.nih.gov/datasets/genome/GCA_001182835.1</v>
      </c>
      <c r="K105" s="7" t="s">
        <v>693</v>
      </c>
      <c r="L105" s="4"/>
      <c r="M105" s="8"/>
      <c r="N105" s="8"/>
      <c r="O105" s="8"/>
      <c r="P105" s="8"/>
      <c r="Q105" s="8"/>
      <c r="R105" s="8"/>
      <c r="S105" s="8"/>
      <c r="T105" s="8"/>
      <c r="U105" s="8"/>
    </row>
    <row r="106" spans="1:21" ht="16">
      <c r="A106" s="4" t="s">
        <v>694</v>
      </c>
      <c r="B106" s="4" t="s">
        <v>695</v>
      </c>
      <c r="C106" s="4" t="s">
        <v>696</v>
      </c>
      <c r="D106" s="4" t="s">
        <v>697</v>
      </c>
      <c r="E106" s="4" t="s">
        <v>698</v>
      </c>
      <c r="F106" s="4" t="s">
        <v>699</v>
      </c>
      <c r="G106" s="5"/>
      <c r="H106" s="4" t="s">
        <v>700</v>
      </c>
      <c r="I106" s="4" t="s">
        <v>18</v>
      </c>
      <c r="J106" s="6" t="str">
        <f t="shared" si="6"/>
        <v>https://www.ncbi.nlm.nih.gov/datasets/genome/GCA_019925245.2</v>
      </c>
      <c r="K106" s="9" t="s">
        <v>701</v>
      </c>
      <c r="L106" s="4"/>
      <c r="M106" s="8"/>
      <c r="N106" s="8"/>
      <c r="O106" s="8"/>
      <c r="P106" s="8"/>
      <c r="Q106" s="8"/>
      <c r="R106" s="8"/>
      <c r="S106" s="8"/>
      <c r="T106" s="8"/>
      <c r="U106" s="8"/>
    </row>
    <row r="107" spans="1:21" ht="16">
      <c r="A107" s="4" t="s">
        <v>702</v>
      </c>
      <c r="B107" s="4" t="s">
        <v>703</v>
      </c>
      <c r="C107" s="4" t="s">
        <v>704</v>
      </c>
      <c r="D107" s="4" t="s">
        <v>705</v>
      </c>
      <c r="E107" s="4" t="s">
        <v>706</v>
      </c>
      <c r="F107" s="4"/>
      <c r="G107" s="5"/>
      <c r="H107" s="4" t="s">
        <v>71</v>
      </c>
      <c r="I107" s="4" t="s">
        <v>18</v>
      </c>
      <c r="J107" s="6" t="str">
        <f t="shared" si="6"/>
        <v>https://www.ncbi.nlm.nih.gov/datasets/genome/GCA_000182155.4</v>
      </c>
      <c r="K107" s="17" t="s">
        <v>707</v>
      </c>
      <c r="L107" s="4"/>
      <c r="M107" s="8"/>
      <c r="N107" s="8"/>
      <c r="O107" s="8"/>
      <c r="P107" s="8"/>
      <c r="Q107" s="8"/>
      <c r="R107" s="8"/>
      <c r="S107" s="8"/>
      <c r="T107" s="8"/>
      <c r="U107" s="8"/>
    </row>
    <row r="108" spans="1:21" ht="16">
      <c r="A108" s="4" t="s">
        <v>708</v>
      </c>
      <c r="B108" s="4" t="s">
        <v>709</v>
      </c>
      <c r="C108" s="4" t="s">
        <v>710</v>
      </c>
      <c r="D108" s="4" t="s">
        <v>711</v>
      </c>
      <c r="E108" s="4" t="s">
        <v>706</v>
      </c>
      <c r="F108" s="4" t="s">
        <v>712</v>
      </c>
      <c r="G108" s="5"/>
      <c r="H108" s="4" t="s">
        <v>197</v>
      </c>
      <c r="I108" s="4" t="s">
        <v>18</v>
      </c>
      <c r="J108" s="6" t="str">
        <f t="shared" si="6"/>
        <v>https://www.ncbi.nlm.nih.gov/datasets/genome/GCA_002926215.1</v>
      </c>
      <c r="K108" s="15" t="s">
        <v>713</v>
      </c>
      <c r="L108" s="4"/>
      <c r="M108" s="8"/>
      <c r="N108" s="8"/>
      <c r="O108" s="8"/>
      <c r="P108" s="8"/>
      <c r="Q108" s="8"/>
      <c r="R108" s="8"/>
      <c r="S108" s="8"/>
      <c r="T108" s="8"/>
      <c r="U108" s="8"/>
    </row>
    <row r="109" spans="1:21" ht="16">
      <c r="A109" s="4" t="s">
        <v>714</v>
      </c>
      <c r="B109" s="4" t="s">
        <v>715</v>
      </c>
      <c r="C109" s="4" t="s">
        <v>716</v>
      </c>
      <c r="D109" s="4" t="s">
        <v>717</v>
      </c>
      <c r="E109" s="4" t="s">
        <v>706</v>
      </c>
      <c r="F109" s="4" t="s">
        <v>718</v>
      </c>
      <c r="G109" s="5"/>
      <c r="H109" s="4" t="s">
        <v>197</v>
      </c>
      <c r="I109" s="4" t="s">
        <v>18</v>
      </c>
      <c r="J109" s="6" t="str">
        <f t="shared" si="6"/>
        <v>https://www.ncbi.nlm.nih.gov/datasets/genome/GCA_002926235.1</v>
      </c>
      <c r="K109" s="15" t="s">
        <v>719</v>
      </c>
      <c r="L109" s="4"/>
      <c r="M109" s="8"/>
      <c r="N109" s="8"/>
      <c r="O109" s="8"/>
      <c r="P109" s="8"/>
      <c r="Q109" s="8"/>
      <c r="R109" s="8"/>
      <c r="S109" s="8"/>
      <c r="T109" s="8"/>
      <c r="U109" s="8"/>
    </row>
    <row r="110" spans="1:21" ht="16">
      <c r="A110" s="4" t="s">
        <v>720</v>
      </c>
      <c r="B110" s="4" t="s">
        <v>721</v>
      </c>
      <c r="C110" s="4" t="s">
        <v>722</v>
      </c>
      <c r="D110" s="4" t="s">
        <v>723</v>
      </c>
      <c r="E110" s="4" t="s">
        <v>706</v>
      </c>
      <c r="F110" s="4" t="s">
        <v>724</v>
      </c>
      <c r="G110" s="5"/>
      <c r="H110" s="4" t="s">
        <v>197</v>
      </c>
      <c r="I110" s="4" t="s">
        <v>18</v>
      </c>
      <c r="J110" s="6" t="str">
        <f t="shared" si="6"/>
        <v>https://www.ncbi.nlm.nih.gov/datasets/genome/GCA_003020155.1</v>
      </c>
      <c r="K110" s="15" t="s">
        <v>725</v>
      </c>
      <c r="L110" s="4"/>
      <c r="M110" s="8"/>
      <c r="N110" s="8"/>
      <c r="O110" s="8"/>
      <c r="P110" s="8"/>
      <c r="Q110" s="8"/>
      <c r="R110" s="8"/>
      <c r="S110" s="8"/>
      <c r="T110" s="8"/>
      <c r="U110" s="8"/>
    </row>
    <row r="111" spans="1:21" ht="16">
      <c r="A111" s="4" t="s">
        <v>726</v>
      </c>
      <c r="B111" s="4" t="s">
        <v>727</v>
      </c>
      <c r="C111" s="4" t="s">
        <v>728</v>
      </c>
      <c r="D111" s="4" t="s">
        <v>729</v>
      </c>
      <c r="E111" s="4" t="s">
        <v>730</v>
      </c>
      <c r="F111" s="4"/>
      <c r="G111" s="5"/>
      <c r="H111" s="4" t="s">
        <v>71</v>
      </c>
      <c r="I111" s="4" t="s">
        <v>18</v>
      </c>
      <c r="J111" s="6" t="str">
        <f t="shared" si="6"/>
        <v>https://www.ncbi.nlm.nih.gov/datasets/genome/GCA_000231095.3</v>
      </c>
      <c r="K111" s="7" t="s">
        <v>731</v>
      </c>
      <c r="L111" s="4"/>
      <c r="M111" s="8"/>
      <c r="N111" s="8"/>
      <c r="O111" s="8"/>
      <c r="P111" s="8"/>
      <c r="Q111" s="8"/>
      <c r="R111" s="8"/>
      <c r="S111" s="8"/>
      <c r="T111" s="8"/>
      <c r="U111" s="8"/>
    </row>
    <row r="112" spans="1:21" ht="16">
      <c r="A112" s="4" t="s">
        <v>732</v>
      </c>
      <c r="B112" s="4" t="s">
        <v>733</v>
      </c>
      <c r="C112" s="4" t="s">
        <v>734</v>
      </c>
      <c r="D112" s="4" t="s">
        <v>735</v>
      </c>
      <c r="E112" s="4" t="s">
        <v>736</v>
      </c>
      <c r="F112" s="4" t="s">
        <v>737</v>
      </c>
      <c r="G112" s="5"/>
      <c r="H112" s="4" t="s">
        <v>71</v>
      </c>
      <c r="I112" s="4" t="s">
        <v>18</v>
      </c>
      <c r="J112" s="6" t="str">
        <f t="shared" si="6"/>
        <v>https://www.ncbi.nlm.nih.gov/datasets/genome/GCA_030770085.1</v>
      </c>
      <c r="K112" s="7" t="s">
        <v>738</v>
      </c>
      <c r="L112" s="4"/>
      <c r="M112" s="8"/>
      <c r="N112" s="8"/>
      <c r="O112" s="8"/>
      <c r="P112" s="8"/>
      <c r="Q112" s="8"/>
      <c r="R112" s="8"/>
      <c r="S112" s="8"/>
      <c r="T112" s="8"/>
      <c r="U112" s="8"/>
    </row>
    <row r="113" spans="1:21" ht="16">
      <c r="A113" s="4" t="s">
        <v>739</v>
      </c>
      <c r="B113" s="4" t="s">
        <v>740</v>
      </c>
      <c r="C113" s="4" t="s">
        <v>741</v>
      </c>
      <c r="D113" s="4" t="s">
        <v>742</v>
      </c>
      <c r="E113" s="4" t="s">
        <v>736</v>
      </c>
      <c r="F113" s="4" t="s">
        <v>743</v>
      </c>
      <c r="G113" s="5"/>
      <c r="H113" s="4" t="s">
        <v>744</v>
      </c>
      <c r="I113" s="4" t="s">
        <v>18</v>
      </c>
      <c r="J113" s="6" t="str">
        <f t="shared" si="6"/>
        <v>https://www.ncbi.nlm.nih.gov/datasets/genome/GCA_009761635.1</v>
      </c>
      <c r="K113" s="7" t="s">
        <v>745</v>
      </c>
      <c r="L113" s="4"/>
      <c r="M113" s="8"/>
      <c r="N113" s="8"/>
      <c r="O113" s="8"/>
      <c r="P113" s="8"/>
      <c r="Q113" s="8"/>
      <c r="R113" s="8"/>
      <c r="S113" s="8"/>
      <c r="T113" s="8"/>
      <c r="U113" s="8"/>
    </row>
    <row r="114" spans="1:21" ht="16">
      <c r="A114" s="4" t="s">
        <v>746</v>
      </c>
      <c r="B114" s="4" t="s">
        <v>747</v>
      </c>
      <c r="C114" s="4" t="s">
        <v>748</v>
      </c>
      <c r="D114" s="4" t="s">
        <v>749</v>
      </c>
      <c r="E114" s="4" t="s">
        <v>736</v>
      </c>
      <c r="F114" s="4" t="s">
        <v>750</v>
      </c>
      <c r="G114" s="5"/>
      <c r="H114" s="4" t="s">
        <v>751</v>
      </c>
      <c r="I114" s="4" t="s">
        <v>18</v>
      </c>
      <c r="J114" s="6" t="str">
        <f t="shared" si="6"/>
        <v>https://www.ncbi.nlm.nih.gov/datasets/genome/GCA_021398055.1</v>
      </c>
      <c r="K114" s="7" t="s">
        <v>752</v>
      </c>
      <c r="L114" s="4"/>
      <c r="M114" s="8"/>
      <c r="N114" s="8"/>
      <c r="O114" s="8"/>
      <c r="P114" s="8"/>
      <c r="Q114" s="8"/>
      <c r="R114" s="8"/>
      <c r="S114" s="8"/>
      <c r="T114" s="8"/>
      <c r="U114" s="8"/>
    </row>
    <row r="115" spans="1:21" ht="16">
      <c r="A115" s="4" t="s">
        <v>753</v>
      </c>
      <c r="B115" s="4" t="s">
        <v>754</v>
      </c>
      <c r="C115" s="4" t="s">
        <v>755</v>
      </c>
      <c r="D115" s="4" t="s">
        <v>756</v>
      </c>
      <c r="E115" s="4" t="s">
        <v>736</v>
      </c>
      <c r="F115" s="4" t="s">
        <v>757</v>
      </c>
      <c r="G115" s="5"/>
      <c r="H115" s="4" t="s">
        <v>71</v>
      </c>
      <c r="I115" s="4" t="s">
        <v>18</v>
      </c>
      <c r="J115" s="6" t="str">
        <f t="shared" si="6"/>
        <v>https://www.ncbi.nlm.nih.gov/datasets/genome/GCA_036417745.1</v>
      </c>
      <c r="K115" s="7" t="s">
        <v>758</v>
      </c>
      <c r="L115" s="4"/>
      <c r="M115" s="8"/>
      <c r="N115" s="8"/>
      <c r="O115" s="8"/>
      <c r="P115" s="8"/>
      <c r="Q115" s="8"/>
      <c r="R115" s="8"/>
      <c r="S115" s="8"/>
      <c r="T115" s="8"/>
      <c r="U115" s="8"/>
    </row>
    <row r="116" spans="1:21" ht="16">
      <c r="A116" s="4" t="s">
        <v>759</v>
      </c>
      <c r="B116" s="4" t="s">
        <v>760</v>
      </c>
      <c r="C116" s="4" t="s">
        <v>761</v>
      </c>
      <c r="D116" s="4" t="s">
        <v>762</v>
      </c>
      <c r="E116" s="4" t="s">
        <v>763</v>
      </c>
      <c r="F116" s="4"/>
      <c r="G116" s="5"/>
      <c r="H116" s="4" t="s">
        <v>71</v>
      </c>
      <c r="I116" s="4" t="s">
        <v>18</v>
      </c>
      <c r="J116" s="6" t="str">
        <f t="shared" si="6"/>
        <v>https://www.ncbi.nlm.nih.gov/datasets/genome/GCA_000147395.3</v>
      </c>
      <c r="K116" s="7" t="s">
        <v>764</v>
      </c>
      <c r="L116" s="4"/>
      <c r="M116" s="8"/>
      <c r="N116" s="8"/>
      <c r="O116" s="8"/>
      <c r="P116" s="8"/>
      <c r="Q116" s="8"/>
      <c r="R116" s="8"/>
      <c r="S116" s="8"/>
      <c r="T116" s="8"/>
      <c r="U116" s="8"/>
    </row>
    <row r="117" spans="1:21" ht="16">
      <c r="A117" s="4" t="s">
        <v>765</v>
      </c>
      <c r="B117" s="4" t="s">
        <v>766</v>
      </c>
      <c r="C117" s="4" t="s">
        <v>767</v>
      </c>
      <c r="D117" s="4" t="s">
        <v>768</v>
      </c>
      <c r="E117" s="4" t="s">
        <v>769</v>
      </c>
      <c r="F117" s="4"/>
      <c r="G117" s="5"/>
      <c r="H117" s="4" t="s">
        <v>71</v>
      </c>
      <c r="I117" s="4" t="s">
        <v>18</v>
      </c>
      <c r="J117" s="6" t="str">
        <f t="shared" si="6"/>
        <v>https://www.ncbi.nlm.nih.gov/datasets/genome/GCA_000576495.2</v>
      </c>
      <c r="K117" s="15" t="s">
        <v>770</v>
      </c>
      <c r="L117" s="4"/>
      <c r="M117" s="8"/>
      <c r="N117" s="8"/>
      <c r="O117" s="8"/>
      <c r="P117" s="8"/>
      <c r="Q117" s="8"/>
      <c r="R117" s="8"/>
      <c r="S117" s="8"/>
      <c r="T117" s="8"/>
      <c r="U117" s="8"/>
    </row>
    <row r="118" spans="1:21" ht="16">
      <c r="A118" s="4" t="s">
        <v>771</v>
      </c>
      <c r="B118" s="4" t="s">
        <v>772</v>
      </c>
      <c r="C118" s="4" t="s">
        <v>773</v>
      </c>
      <c r="D118" s="4" t="s">
        <v>774</v>
      </c>
      <c r="E118" s="4" t="s">
        <v>775</v>
      </c>
      <c r="F118" s="4" t="s">
        <v>776</v>
      </c>
      <c r="G118" s="5"/>
      <c r="H118" s="4" t="s">
        <v>777</v>
      </c>
      <c r="I118" s="4" t="s">
        <v>18</v>
      </c>
      <c r="J118" s="6" t="str">
        <f t="shared" si="6"/>
        <v>https://www.ncbi.nlm.nih.gov/datasets/genome/GCA_009805545.1</v>
      </c>
      <c r="K118" s="15" t="s">
        <v>778</v>
      </c>
      <c r="L118" s="4"/>
      <c r="M118" s="8"/>
      <c r="N118" s="8"/>
      <c r="O118" s="8"/>
      <c r="P118" s="8"/>
      <c r="Q118" s="8"/>
      <c r="R118" s="8"/>
      <c r="S118" s="8"/>
      <c r="T118" s="8"/>
      <c r="U118" s="8"/>
    </row>
    <row r="119" spans="1:21" ht="16">
      <c r="A119" s="4" t="s">
        <v>779</v>
      </c>
      <c r="B119" s="4" t="s">
        <v>780</v>
      </c>
      <c r="C119" s="4" t="s">
        <v>781</v>
      </c>
      <c r="D119" s="4" t="s">
        <v>782</v>
      </c>
      <c r="E119" s="4" t="s">
        <v>775</v>
      </c>
      <c r="F119" s="4" t="s">
        <v>783</v>
      </c>
      <c r="G119" s="5"/>
      <c r="H119" s="4" t="s">
        <v>784</v>
      </c>
      <c r="I119" s="4" t="s">
        <v>18</v>
      </c>
      <c r="J119" s="6" t="str">
        <f t="shared" si="6"/>
        <v>https://www.ncbi.nlm.nih.gov/datasets/genome/GCA_001514335.2</v>
      </c>
      <c r="K119" s="7" t="s">
        <v>785</v>
      </c>
      <c r="L119" s="4"/>
      <c r="M119" s="8"/>
      <c r="N119" s="8"/>
      <c r="O119" s="8"/>
      <c r="P119" s="8"/>
      <c r="Q119" s="8"/>
      <c r="R119" s="8"/>
      <c r="S119" s="8"/>
      <c r="T119" s="8"/>
      <c r="U119" s="8"/>
    </row>
    <row r="120" spans="1:21" ht="16">
      <c r="A120" s="4" t="s">
        <v>786</v>
      </c>
      <c r="B120" s="4" t="s">
        <v>787</v>
      </c>
      <c r="C120" s="4" t="s">
        <v>788</v>
      </c>
      <c r="D120" s="4" t="s">
        <v>789</v>
      </c>
      <c r="E120" s="4" t="s">
        <v>775</v>
      </c>
      <c r="F120" s="4"/>
      <c r="G120" s="5"/>
      <c r="H120" s="4" t="s">
        <v>197</v>
      </c>
      <c r="I120" s="4" t="s">
        <v>18</v>
      </c>
      <c r="J120" s="6" t="str">
        <f t="shared" si="6"/>
        <v>https://www.ncbi.nlm.nih.gov/datasets/genome/GCA_000789195.1</v>
      </c>
      <c r="K120" s="4" t="s">
        <v>790</v>
      </c>
      <c r="L120" s="4"/>
      <c r="M120" s="8"/>
      <c r="N120" s="8"/>
      <c r="O120" s="8"/>
      <c r="P120" s="8"/>
      <c r="Q120" s="8"/>
      <c r="R120" s="8"/>
      <c r="S120" s="8"/>
      <c r="T120" s="8"/>
      <c r="U120" s="8"/>
    </row>
    <row r="121" spans="1:21" ht="16">
      <c r="A121" s="4" t="s">
        <v>791</v>
      </c>
      <c r="B121" s="4" t="s">
        <v>792</v>
      </c>
      <c r="C121" s="4" t="s">
        <v>793</v>
      </c>
      <c r="D121" s="4" t="s">
        <v>794</v>
      </c>
      <c r="E121" s="4" t="s">
        <v>795</v>
      </c>
      <c r="F121" s="4" t="s">
        <v>796</v>
      </c>
      <c r="G121" s="5"/>
      <c r="H121" s="4" t="s">
        <v>71</v>
      </c>
      <c r="I121" s="4" t="s">
        <v>18</v>
      </c>
      <c r="J121" s="6" t="str">
        <f t="shared" si="6"/>
        <v>https://www.ncbi.nlm.nih.gov/datasets/genome/GCA_000338895.3</v>
      </c>
      <c r="K121" s="17" t="s">
        <v>707</v>
      </c>
      <c r="L121" s="4"/>
      <c r="M121" s="8"/>
      <c r="N121" s="8"/>
      <c r="O121" s="8"/>
      <c r="P121" s="8"/>
      <c r="Q121" s="8"/>
      <c r="R121" s="8"/>
      <c r="S121" s="8"/>
      <c r="T121" s="8"/>
      <c r="U121" s="8"/>
    </row>
    <row r="122" spans="1:21" ht="16">
      <c r="A122" s="4" t="s">
        <v>797</v>
      </c>
      <c r="B122" s="4" t="s">
        <v>798</v>
      </c>
      <c r="C122" s="4" t="s">
        <v>799</v>
      </c>
      <c r="D122" s="4" t="s">
        <v>800</v>
      </c>
      <c r="E122" s="4" t="s">
        <v>795</v>
      </c>
      <c r="F122" s="4" t="s">
        <v>801</v>
      </c>
      <c r="G122" s="5"/>
      <c r="H122" s="4" t="s">
        <v>71</v>
      </c>
      <c r="I122" s="4" t="s">
        <v>18</v>
      </c>
      <c r="J122" s="6" t="str">
        <f t="shared" si="6"/>
        <v>https://www.ncbi.nlm.nih.gov/datasets/genome/GCA_001551795.1</v>
      </c>
      <c r="K122" s="4" t="s">
        <v>802</v>
      </c>
      <c r="L122" s="4"/>
      <c r="M122" s="8"/>
      <c r="N122" s="8"/>
      <c r="O122" s="8"/>
      <c r="P122" s="8"/>
      <c r="Q122" s="8"/>
      <c r="R122" s="8"/>
      <c r="S122" s="8"/>
      <c r="T122" s="8"/>
      <c r="U122" s="8"/>
    </row>
    <row r="123" spans="1:21" ht="16">
      <c r="A123" s="4" t="s">
        <v>803</v>
      </c>
      <c r="B123" s="4" t="s">
        <v>804</v>
      </c>
      <c r="C123" s="4" t="s">
        <v>805</v>
      </c>
      <c r="D123" s="4" t="s">
        <v>806</v>
      </c>
      <c r="E123" s="4" t="s">
        <v>807</v>
      </c>
      <c r="F123" s="4" t="s">
        <v>808</v>
      </c>
      <c r="G123" s="5"/>
      <c r="H123" s="4" t="s">
        <v>809</v>
      </c>
      <c r="I123" s="4" t="s">
        <v>18</v>
      </c>
      <c r="J123" s="6" t="str">
        <f t="shared" si="6"/>
        <v>https://www.ncbi.nlm.nih.gov/datasets/genome/GCA_003991445.1</v>
      </c>
      <c r="K123" s="4" t="s">
        <v>810</v>
      </c>
      <c r="L123" s="4"/>
      <c r="M123" s="8"/>
      <c r="N123" s="8"/>
      <c r="O123" s="8"/>
      <c r="P123" s="8"/>
      <c r="Q123" s="8"/>
      <c r="R123" s="8"/>
      <c r="S123" s="8"/>
      <c r="T123" s="8"/>
      <c r="U123" s="8"/>
    </row>
    <row r="124" spans="1:21" ht="16">
      <c r="A124" s="4" t="s">
        <v>811</v>
      </c>
      <c r="B124" s="4" t="s">
        <v>812</v>
      </c>
      <c r="C124" s="4" t="s">
        <v>813</v>
      </c>
      <c r="D124" s="4" t="s">
        <v>814</v>
      </c>
      <c r="E124" s="4" t="s">
        <v>807</v>
      </c>
      <c r="F124" s="4" t="s">
        <v>815</v>
      </c>
      <c r="G124" s="5"/>
      <c r="H124" s="4" t="s">
        <v>197</v>
      </c>
      <c r="I124" s="4" t="s">
        <v>18</v>
      </c>
      <c r="J124" s="6" t="str">
        <f t="shared" si="6"/>
        <v>https://www.ncbi.nlm.nih.gov/datasets/genome/GCA_005223365.2</v>
      </c>
      <c r="K124" s="7" t="s">
        <v>816</v>
      </c>
      <c r="L124" s="4"/>
      <c r="M124" s="8"/>
      <c r="N124" s="8"/>
      <c r="O124" s="8"/>
      <c r="P124" s="8"/>
      <c r="Q124" s="8"/>
      <c r="R124" s="8"/>
      <c r="S124" s="8"/>
      <c r="T124" s="8"/>
      <c r="U124" s="8"/>
    </row>
    <row r="125" spans="1:21" ht="16">
      <c r="A125" s="4" t="s">
        <v>817</v>
      </c>
      <c r="B125" s="4" t="s">
        <v>818</v>
      </c>
      <c r="C125" s="4" t="s">
        <v>819</v>
      </c>
      <c r="D125" s="4" t="s">
        <v>820</v>
      </c>
      <c r="E125" s="4" t="s">
        <v>821</v>
      </c>
      <c r="F125" s="4"/>
      <c r="G125" s="5"/>
      <c r="H125" s="4" t="s">
        <v>71</v>
      </c>
      <c r="I125" s="4" t="s">
        <v>18</v>
      </c>
      <c r="J125" s="6" t="str">
        <f t="shared" si="6"/>
        <v>https://www.ncbi.nlm.nih.gov/datasets/genome/GCA_000576065.2</v>
      </c>
      <c r="K125" s="4" t="s">
        <v>707</v>
      </c>
      <c r="L125" s="4"/>
      <c r="M125" s="8"/>
      <c r="N125" s="8"/>
      <c r="O125" s="8"/>
      <c r="P125" s="8"/>
      <c r="Q125" s="8"/>
      <c r="R125" s="8"/>
      <c r="S125" s="8"/>
      <c r="T125" s="8"/>
      <c r="U125" s="8"/>
    </row>
    <row r="126" spans="1:21" ht="16">
      <c r="A126" s="4" t="s">
        <v>822</v>
      </c>
      <c r="B126" s="4" t="s">
        <v>823</v>
      </c>
      <c r="C126" s="4" t="s">
        <v>824</v>
      </c>
      <c r="D126" s="4" t="s">
        <v>825</v>
      </c>
      <c r="E126" s="4" t="s">
        <v>826</v>
      </c>
      <c r="F126" s="4" t="s">
        <v>827</v>
      </c>
      <c r="G126" s="5"/>
      <c r="H126" s="4" t="s">
        <v>828</v>
      </c>
      <c r="I126" s="4" t="s">
        <v>18</v>
      </c>
      <c r="J126" s="6" t="str">
        <f t="shared" si="6"/>
        <v>https://www.ncbi.nlm.nih.gov/datasets/genome/GCA_008326285.1</v>
      </c>
      <c r="K126" s="15" t="s">
        <v>829</v>
      </c>
      <c r="L126" s="4"/>
      <c r="M126" s="8"/>
      <c r="N126" s="8"/>
      <c r="O126" s="8"/>
      <c r="P126" s="8"/>
      <c r="Q126" s="8"/>
      <c r="R126" s="8"/>
      <c r="S126" s="8"/>
      <c r="T126" s="8"/>
      <c r="U126" s="8"/>
    </row>
    <row r="127" spans="1:21" ht="16">
      <c r="A127" s="4" t="s">
        <v>830</v>
      </c>
      <c r="B127" s="4" t="s">
        <v>831</v>
      </c>
      <c r="C127" s="4" t="s">
        <v>832</v>
      </c>
      <c r="D127" s="4" t="s">
        <v>833</v>
      </c>
      <c r="E127" s="4" t="s">
        <v>834</v>
      </c>
      <c r="F127" s="4"/>
      <c r="G127" s="5"/>
      <c r="H127" s="4" t="s">
        <v>71</v>
      </c>
      <c r="I127" s="4" t="s">
        <v>18</v>
      </c>
      <c r="J127" s="6" t="str">
        <f t="shared" si="6"/>
        <v>https://www.ncbi.nlm.nih.gov/datasets/genome/GCA_000573905.2</v>
      </c>
      <c r="K127" s="17" t="s">
        <v>707</v>
      </c>
      <c r="L127" s="4"/>
      <c r="M127" s="8"/>
      <c r="N127" s="8"/>
      <c r="O127" s="8"/>
      <c r="P127" s="8"/>
      <c r="Q127" s="8"/>
      <c r="R127" s="8"/>
      <c r="S127" s="8"/>
      <c r="T127" s="8"/>
      <c r="U127" s="8"/>
    </row>
    <row r="128" spans="1:21" ht="16">
      <c r="A128" s="4" t="s">
        <v>835</v>
      </c>
      <c r="B128" s="4" t="s">
        <v>836</v>
      </c>
      <c r="C128" s="4" t="s">
        <v>837</v>
      </c>
      <c r="D128" s="4" t="s">
        <v>838</v>
      </c>
      <c r="E128" s="4" t="s">
        <v>839</v>
      </c>
      <c r="F128" s="4" t="s">
        <v>840</v>
      </c>
      <c r="G128" s="5"/>
      <c r="H128" s="4" t="s">
        <v>548</v>
      </c>
      <c r="I128" s="4" t="s">
        <v>18</v>
      </c>
      <c r="J128" s="6" t="str">
        <f t="shared" si="6"/>
        <v>https://www.ncbi.nlm.nih.gov/datasets/genome/GCA_023541355.1</v>
      </c>
      <c r="K128" s="17" t="s">
        <v>841</v>
      </c>
      <c r="L128" s="4"/>
      <c r="M128" s="8"/>
      <c r="N128" s="8"/>
      <c r="O128" s="8"/>
      <c r="P128" s="8"/>
      <c r="Q128" s="8"/>
      <c r="R128" s="8"/>
      <c r="S128" s="8"/>
      <c r="T128" s="8"/>
      <c r="U128" s="8"/>
    </row>
    <row r="129" spans="1:21" ht="16">
      <c r="A129" s="4" t="s">
        <v>842</v>
      </c>
      <c r="B129" s="4" t="s">
        <v>843</v>
      </c>
      <c r="C129" s="4" t="s">
        <v>844</v>
      </c>
      <c r="D129" s="4" t="s">
        <v>845</v>
      </c>
      <c r="E129" s="4" t="s">
        <v>839</v>
      </c>
      <c r="F129" s="4" t="s">
        <v>846</v>
      </c>
      <c r="G129" s="5"/>
      <c r="H129" s="4" t="s">
        <v>71</v>
      </c>
      <c r="I129" s="4" t="s">
        <v>18</v>
      </c>
      <c r="J129" s="6" t="str">
        <f t="shared" si="6"/>
        <v>https://www.ncbi.nlm.nih.gov/datasets/genome/GCA_001551805.1</v>
      </c>
      <c r="K129" s="15" t="s">
        <v>847</v>
      </c>
      <c r="L129" s="4"/>
      <c r="M129" s="8"/>
      <c r="N129" s="8"/>
      <c r="O129" s="8"/>
      <c r="P129" s="8"/>
      <c r="Q129" s="8"/>
      <c r="R129" s="8"/>
      <c r="S129" s="8"/>
      <c r="T129" s="8"/>
      <c r="U129" s="8"/>
    </row>
    <row r="130" spans="1:21" ht="16">
      <c r="A130" s="4" t="s">
        <v>848</v>
      </c>
      <c r="B130" s="4" t="s">
        <v>849</v>
      </c>
      <c r="C130" s="4" t="s">
        <v>850</v>
      </c>
      <c r="D130" s="4" t="s">
        <v>851</v>
      </c>
      <c r="E130" s="4" t="s">
        <v>839</v>
      </c>
      <c r="F130" s="4" t="s">
        <v>852</v>
      </c>
      <c r="G130" s="5"/>
      <c r="H130" s="4" t="s">
        <v>31</v>
      </c>
      <c r="I130" s="4" t="s">
        <v>18</v>
      </c>
      <c r="J130" s="6" t="str">
        <f t="shared" si="6"/>
        <v>https://www.ncbi.nlm.nih.gov/datasets/genome/GCA_000817225.2</v>
      </c>
      <c r="K130" s="17" t="s">
        <v>853</v>
      </c>
      <c r="L130" s="4"/>
      <c r="M130" s="8"/>
      <c r="N130" s="8"/>
      <c r="O130" s="8"/>
      <c r="P130" s="8"/>
      <c r="Q130" s="8"/>
      <c r="R130" s="8"/>
      <c r="S130" s="8"/>
      <c r="T130" s="8"/>
      <c r="U130" s="8"/>
    </row>
    <row r="131" spans="1:21" ht="16">
      <c r="A131" s="4" t="s">
        <v>854</v>
      </c>
      <c r="B131" s="4" t="s">
        <v>855</v>
      </c>
      <c r="C131" s="4" t="s">
        <v>856</v>
      </c>
      <c r="D131" s="4" t="s">
        <v>857</v>
      </c>
      <c r="E131" s="4" t="s">
        <v>858</v>
      </c>
      <c r="F131" s="4" t="s">
        <v>859</v>
      </c>
      <c r="G131" s="5"/>
      <c r="H131" s="4" t="s">
        <v>31</v>
      </c>
      <c r="I131" s="4" t="s">
        <v>18</v>
      </c>
      <c r="J131" s="6" t="str">
        <f t="shared" si="6"/>
        <v>https://www.ncbi.nlm.nih.gov/datasets/genome/GCA_001433935.1</v>
      </c>
      <c r="K131" s="7" t="s">
        <v>860</v>
      </c>
      <c r="L131" s="4"/>
      <c r="M131" s="8"/>
      <c r="N131" s="8"/>
      <c r="O131" s="8"/>
      <c r="P131" s="8"/>
      <c r="Q131" s="8"/>
      <c r="R131" s="8"/>
      <c r="S131" s="8"/>
      <c r="T131" s="8"/>
      <c r="U131" s="8"/>
    </row>
    <row r="132" spans="1:21" ht="16">
      <c r="A132" s="4" t="s">
        <v>861</v>
      </c>
      <c r="B132" s="4" t="s">
        <v>862</v>
      </c>
      <c r="C132" s="4" t="s">
        <v>863</v>
      </c>
      <c r="D132" s="4" t="s">
        <v>864</v>
      </c>
      <c r="E132" s="4" t="s">
        <v>858</v>
      </c>
      <c r="F132" s="4" t="s">
        <v>865</v>
      </c>
      <c r="G132" s="5"/>
      <c r="H132" s="4" t="s">
        <v>71</v>
      </c>
      <c r="I132" s="4" t="s">
        <v>18</v>
      </c>
      <c r="J132" s="6" t="str">
        <f t="shared" si="6"/>
        <v>https://www.ncbi.nlm.nih.gov/datasets/genome/GCA_001623345.3</v>
      </c>
      <c r="K132" s="7" t="s">
        <v>866</v>
      </c>
      <c r="L132" s="4"/>
      <c r="M132" s="8"/>
      <c r="N132" s="8"/>
      <c r="O132" s="8"/>
      <c r="P132" s="8"/>
      <c r="Q132" s="8"/>
      <c r="R132" s="8"/>
      <c r="S132" s="8"/>
      <c r="T132" s="8"/>
      <c r="U132" s="8"/>
    </row>
    <row r="133" spans="1:21" ht="16">
      <c r="A133" s="4" t="s">
        <v>867</v>
      </c>
      <c r="B133" s="4" t="s">
        <v>868</v>
      </c>
      <c r="C133" s="4" t="s">
        <v>869</v>
      </c>
      <c r="D133" s="4" t="s">
        <v>870</v>
      </c>
      <c r="E133" s="4" t="s">
        <v>858</v>
      </c>
      <c r="F133" s="4" t="s">
        <v>871</v>
      </c>
      <c r="G133" s="5"/>
      <c r="H133" s="4" t="s">
        <v>872</v>
      </c>
      <c r="I133" s="4" t="s">
        <v>18</v>
      </c>
      <c r="J133" s="6" t="str">
        <f t="shared" si="6"/>
        <v>https://www.ncbi.nlm.nih.gov/datasets/genome/GCA_009830595.1</v>
      </c>
      <c r="K133" s="17" t="s">
        <v>873</v>
      </c>
      <c r="L133" s="4"/>
      <c r="M133" s="8"/>
      <c r="N133" s="8"/>
      <c r="O133" s="8"/>
      <c r="P133" s="8"/>
      <c r="Q133" s="8"/>
      <c r="R133" s="8"/>
      <c r="S133" s="8"/>
      <c r="T133" s="8"/>
      <c r="U133" s="8"/>
    </row>
    <row r="134" spans="1:21" ht="16">
      <c r="A134" s="4" t="s">
        <v>874</v>
      </c>
      <c r="B134" s="4" t="s">
        <v>875</v>
      </c>
      <c r="C134" s="4" t="s">
        <v>876</v>
      </c>
      <c r="D134" s="4" t="s">
        <v>877</v>
      </c>
      <c r="E134" s="4" t="s">
        <v>858</v>
      </c>
      <c r="F134" s="4" t="s">
        <v>878</v>
      </c>
      <c r="G134" s="5"/>
      <c r="H134" s="4" t="s">
        <v>548</v>
      </c>
      <c r="I134" s="4" t="s">
        <v>18</v>
      </c>
      <c r="J134" s="6" t="str">
        <f t="shared" si="6"/>
        <v>https://www.ncbi.nlm.nih.gov/datasets/genome/GCA_009831025.1</v>
      </c>
      <c r="K134" s="17" t="s">
        <v>873</v>
      </c>
      <c r="L134" s="4"/>
      <c r="M134" s="8"/>
      <c r="N134" s="8"/>
      <c r="O134" s="8"/>
      <c r="P134" s="8"/>
      <c r="Q134" s="8"/>
      <c r="R134" s="8"/>
      <c r="S134" s="8"/>
      <c r="T134" s="8"/>
      <c r="U134" s="8"/>
    </row>
    <row r="135" spans="1:21" ht="16">
      <c r="A135" s="4" t="s">
        <v>879</v>
      </c>
      <c r="B135" s="4" t="s">
        <v>880</v>
      </c>
      <c r="C135" s="4" t="s">
        <v>881</v>
      </c>
      <c r="D135" s="4" t="s">
        <v>882</v>
      </c>
      <c r="E135" s="4" t="s">
        <v>858</v>
      </c>
      <c r="F135" s="4" t="s">
        <v>883</v>
      </c>
      <c r="G135" s="5"/>
      <c r="H135" s="4" t="s">
        <v>548</v>
      </c>
      <c r="I135" s="4" t="s">
        <v>18</v>
      </c>
      <c r="J135" s="6" t="str">
        <f t="shared" si="6"/>
        <v>https://www.ncbi.nlm.nih.gov/datasets/genome/GCA_009831315.1</v>
      </c>
      <c r="K135" s="17" t="s">
        <v>873</v>
      </c>
      <c r="L135" s="4"/>
      <c r="M135" s="8"/>
      <c r="N135" s="8"/>
      <c r="O135" s="8"/>
      <c r="P135" s="8"/>
      <c r="Q135" s="8"/>
      <c r="R135" s="8"/>
      <c r="S135" s="8"/>
      <c r="T135" s="8"/>
      <c r="U135" s="8"/>
    </row>
    <row r="136" spans="1:21" ht="16">
      <c r="A136" s="4" t="s">
        <v>884</v>
      </c>
      <c r="B136" s="4" t="s">
        <v>885</v>
      </c>
      <c r="C136" s="4" t="s">
        <v>886</v>
      </c>
      <c r="D136" s="4" t="s">
        <v>887</v>
      </c>
      <c r="E136" s="4" t="s">
        <v>888</v>
      </c>
      <c r="F136" s="4" t="s">
        <v>889</v>
      </c>
      <c r="G136" s="5"/>
      <c r="H136" s="4" t="s">
        <v>17</v>
      </c>
      <c r="I136" s="4" t="s">
        <v>18</v>
      </c>
      <c r="J136" s="6" t="str">
        <f t="shared" si="6"/>
        <v>https://www.ncbi.nlm.nih.gov/datasets/genome/GCA_036346275.1</v>
      </c>
      <c r="K136" s="9" t="s">
        <v>125</v>
      </c>
      <c r="L136" s="4"/>
      <c r="M136" s="8"/>
      <c r="N136" s="8"/>
      <c r="O136" s="8"/>
      <c r="P136" s="8"/>
      <c r="Q136" s="8"/>
      <c r="R136" s="8"/>
      <c r="S136" s="8"/>
      <c r="T136" s="8"/>
      <c r="U136" s="8"/>
    </row>
    <row r="137" spans="1:21" ht="16">
      <c r="A137" s="4" t="s">
        <v>890</v>
      </c>
      <c r="B137" s="4" t="s">
        <v>891</v>
      </c>
      <c r="C137" s="4" t="s">
        <v>892</v>
      </c>
      <c r="D137" s="4" t="s">
        <v>893</v>
      </c>
      <c r="E137" s="4" t="s">
        <v>894</v>
      </c>
      <c r="F137" s="4" t="s">
        <v>895</v>
      </c>
      <c r="G137" s="5"/>
      <c r="H137" s="4" t="s">
        <v>896</v>
      </c>
      <c r="I137" s="4" t="s">
        <v>18</v>
      </c>
      <c r="J137" s="6" t="str">
        <f t="shared" si="6"/>
        <v>https://www.ncbi.nlm.nih.gov/datasets/genome/GCA_002211085.2</v>
      </c>
      <c r="K137" s="17" t="s">
        <v>897</v>
      </c>
      <c r="L137" s="4"/>
      <c r="M137" s="8"/>
      <c r="N137" s="8"/>
      <c r="O137" s="8"/>
      <c r="P137" s="8"/>
      <c r="Q137" s="8"/>
      <c r="R137" s="8"/>
      <c r="S137" s="8"/>
      <c r="T137" s="8"/>
      <c r="U137" s="8"/>
    </row>
    <row r="138" spans="1:21" ht="16">
      <c r="A138" s="4" t="s">
        <v>898</v>
      </c>
      <c r="B138" s="4" t="s">
        <v>899</v>
      </c>
      <c r="C138" s="4" t="s">
        <v>900</v>
      </c>
      <c r="D138" s="4" t="s">
        <v>901</v>
      </c>
      <c r="E138" s="4" t="s">
        <v>894</v>
      </c>
      <c r="F138" s="4" t="s">
        <v>902</v>
      </c>
      <c r="G138" s="5"/>
      <c r="H138" s="4" t="s">
        <v>903</v>
      </c>
      <c r="I138" s="4" t="s">
        <v>18</v>
      </c>
      <c r="J138" s="6" t="str">
        <f t="shared" si="6"/>
        <v>https://www.ncbi.nlm.nih.gov/datasets/genome/GCA_003061485.1</v>
      </c>
      <c r="K138" s="17" t="s">
        <v>897</v>
      </c>
      <c r="L138" s="4"/>
      <c r="M138" s="8"/>
      <c r="N138" s="8"/>
      <c r="O138" s="8"/>
      <c r="P138" s="8"/>
      <c r="Q138" s="8"/>
      <c r="R138" s="8"/>
      <c r="S138" s="8"/>
      <c r="T138" s="8"/>
      <c r="U138" s="8"/>
    </row>
    <row r="139" spans="1:21" ht="16">
      <c r="A139" s="4" t="s">
        <v>904</v>
      </c>
      <c r="B139" s="4" t="s">
        <v>905</v>
      </c>
      <c r="C139" s="4" t="s">
        <v>906</v>
      </c>
      <c r="D139" s="4" t="s">
        <v>907</v>
      </c>
      <c r="E139" s="4" t="s">
        <v>908</v>
      </c>
      <c r="F139" s="10">
        <v>332</v>
      </c>
      <c r="G139" s="5"/>
      <c r="H139" s="4" t="s">
        <v>79</v>
      </c>
      <c r="I139" s="4" t="s">
        <v>18</v>
      </c>
      <c r="J139" s="6" t="str">
        <f t="shared" si="6"/>
        <v>https://www.ncbi.nlm.nih.gov/datasets/genome/GCA_032594955.1</v>
      </c>
      <c r="K139" s="17" t="s">
        <v>909</v>
      </c>
      <c r="L139" s="4"/>
      <c r="M139" s="8"/>
      <c r="N139" s="8"/>
      <c r="O139" s="8"/>
      <c r="P139" s="8"/>
      <c r="Q139" s="8"/>
      <c r="R139" s="8"/>
      <c r="S139" s="8"/>
      <c r="T139" s="8"/>
      <c r="U139" s="8"/>
    </row>
    <row r="140" spans="1:21" ht="16">
      <c r="A140" s="4" t="s">
        <v>910</v>
      </c>
      <c r="B140" s="4" t="s">
        <v>911</v>
      </c>
      <c r="C140" s="4" t="s">
        <v>912</v>
      </c>
      <c r="D140" s="4" t="s">
        <v>913</v>
      </c>
      <c r="E140" s="4" t="s">
        <v>908</v>
      </c>
      <c r="F140" s="10">
        <v>477</v>
      </c>
      <c r="G140" s="5"/>
      <c r="H140" s="4" t="s">
        <v>79</v>
      </c>
      <c r="I140" s="4" t="s">
        <v>18</v>
      </c>
      <c r="J140" s="6" t="str">
        <f t="shared" si="6"/>
        <v>https://www.ncbi.nlm.nih.gov/datasets/genome/GCA_032595115.1</v>
      </c>
      <c r="K140" s="17" t="s">
        <v>909</v>
      </c>
      <c r="L140" s="4"/>
      <c r="M140" s="8"/>
      <c r="N140" s="8"/>
      <c r="O140" s="8"/>
      <c r="P140" s="8"/>
      <c r="Q140" s="8"/>
      <c r="R140" s="8"/>
      <c r="S140" s="8"/>
      <c r="T140" s="8"/>
      <c r="U140" s="8"/>
    </row>
    <row r="141" spans="1:21" ht="16">
      <c r="A141" s="4" t="s">
        <v>914</v>
      </c>
      <c r="B141" s="4" t="s">
        <v>915</v>
      </c>
      <c r="C141" s="4" t="s">
        <v>916</v>
      </c>
      <c r="D141" s="4" t="s">
        <v>917</v>
      </c>
      <c r="E141" s="4" t="s">
        <v>908</v>
      </c>
      <c r="F141" s="10">
        <v>404</v>
      </c>
      <c r="G141" s="5"/>
      <c r="H141" s="4" t="s">
        <v>79</v>
      </c>
      <c r="I141" s="4" t="s">
        <v>18</v>
      </c>
      <c r="J141" s="6" t="str">
        <f t="shared" si="6"/>
        <v>https://www.ncbi.nlm.nih.gov/datasets/genome/GCA_032595235.1</v>
      </c>
      <c r="K141" s="17" t="s">
        <v>909</v>
      </c>
      <c r="L141" s="4"/>
      <c r="M141" s="8"/>
      <c r="N141" s="8"/>
      <c r="O141" s="8"/>
      <c r="P141" s="8"/>
      <c r="Q141" s="8"/>
      <c r="R141" s="8"/>
      <c r="S141" s="8"/>
      <c r="T141" s="8"/>
      <c r="U141" s="8"/>
    </row>
    <row r="142" spans="1:21" ht="16">
      <c r="A142" s="4" t="s">
        <v>918</v>
      </c>
      <c r="B142" s="4" t="s">
        <v>919</v>
      </c>
      <c r="C142" s="4" t="s">
        <v>920</v>
      </c>
      <c r="D142" s="4" t="s">
        <v>921</v>
      </c>
      <c r="E142" s="4" t="s">
        <v>908</v>
      </c>
      <c r="F142" s="10">
        <v>382</v>
      </c>
      <c r="G142" s="5"/>
      <c r="H142" s="4" t="s">
        <v>79</v>
      </c>
      <c r="I142" s="4" t="s">
        <v>18</v>
      </c>
      <c r="J142" s="6" t="str">
        <f t="shared" si="6"/>
        <v>https://www.ncbi.nlm.nih.gov/datasets/genome/GCA_032594965.1</v>
      </c>
      <c r="K142" s="17" t="s">
        <v>909</v>
      </c>
      <c r="L142" s="4"/>
      <c r="M142" s="8"/>
      <c r="N142" s="8"/>
      <c r="O142" s="8"/>
      <c r="P142" s="8"/>
      <c r="Q142" s="8"/>
      <c r="R142" s="8"/>
      <c r="S142" s="8"/>
      <c r="T142" s="8"/>
      <c r="U142" s="8"/>
    </row>
    <row r="143" spans="1:21" ht="16">
      <c r="A143" s="4" t="s">
        <v>922</v>
      </c>
      <c r="B143" s="4" t="s">
        <v>923</v>
      </c>
      <c r="C143" s="4" t="s">
        <v>924</v>
      </c>
      <c r="D143" s="4" t="s">
        <v>925</v>
      </c>
      <c r="E143" s="4" t="s">
        <v>908</v>
      </c>
      <c r="F143" s="10">
        <v>100</v>
      </c>
      <c r="G143" s="5"/>
      <c r="H143" s="4" t="s">
        <v>79</v>
      </c>
      <c r="I143" s="4" t="s">
        <v>18</v>
      </c>
      <c r="J143" s="6" t="str">
        <f t="shared" si="6"/>
        <v>https://www.ncbi.nlm.nih.gov/datasets/genome/GCA_032594575.1</v>
      </c>
      <c r="K143" s="17" t="s">
        <v>909</v>
      </c>
      <c r="L143" s="4"/>
      <c r="M143" s="8"/>
      <c r="N143" s="8"/>
      <c r="O143" s="8"/>
      <c r="P143" s="8"/>
      <c r="Q143" s="8"/>
      <c r="R143" s="8"/>
      <c r="S143" s="8"/>
      <c r="T143" s="8"/>
      <c r="U143" s="8"/>
    </row>
    <row r="144" spans="1:21" ht="16">
      <c r="A144" s="4" t="s">
        <v>926</v>
      </c>
      <c r="B144" s="4" t="s">
        <v>927</v>
      </c>
      <c r="C144" s="4" t="s">
        <v>928</v>
      </c>
      <c r="D144" s="4" t="s">
        <v>929</v>
      </c>
      <c r="E144" s="4" t="s">
        <v>930</v>
      </c>
      <c r="F144" s="4" t="s">
        <v>931</v>
      </c>
      <c r="G144" s="5"/>
      <c r="H144" s="4" t="s">
        <v>932</v>
      </c>
      <c r="I144" s="4" t="s">
        <v>18</v>
      </c>
      <c r="J144" s="6" t="str">
        <f t="shared" si="6"/>
        <v>https://www.ncbi.nlm.nih.gov/datasets/genome/GCA_016808335.1</v>
      </c>
      <c r="K144" s="7" t="s">
        <v>933</v>
      </c>
      <c r="L144" s="4"/>
      <c r="M144" s="8"/>
      <c r="N144" s="8"/>
      <c r="O144" s="8"/>
      <c r="P144" s="8"/>
      <c r="Q144" s="8"/>
      <c r="R144" s="8"/>
      <c r="S144" s="8"/>
      <c r="T144" s="8"/>
      <c r="U144" s="8"/>
    </row>
    <row r="145" spans="1:21" ht="16">
      <c r="A145" s="4" t="s">
        <v>934</v>
      </c>
      <c r="B145" s="4" t="s">
        <v>935</v>
      </c>
      <c r="C145" s="4" t="s">
        <v>936</v>
      </c>
      <c r="D145" s="4" t="s">
        <v>937</v>
      </c>
      <c r="E145" s="4" t="s">
        <v>938</v>
      </c>
      <c r="F145" s="4" t="s">
        <v>939</v>
      </c>
      <c r="G145" s="5"/>
      <c r="H145" s="4" t="s">
        <v>71</v>
      </c>
      <c r="I145" s="4" t="s">
        <v>18</v>
      </c>
      <c r="J145" s="6" t="str">
        <f t="shared" si="6"/>
        <v>https://www.ncbi.nlm.nih.gov/datasets/genome/GCA_022530915.1</v>
      </c>
      <c r="K145" s="17" t="s">
        <v>940</v>
      </c>
      <c r="L145" s="4"/>
      <c r="M145" s="8"/>
      <c r="N145" s="8"/>
      <c r="O145" s="8"/>
      <c r="P145" s="8"/>
      <c r="Q145" s="8"/>
      <c r="R145" s="8"/>
      <c r="S145" s="8"/>
      <c r="T145" s="8"/>
      <c r="U145" s="8"/>
    </row>
    <row r="146" spans="1:21" ht="16">
      <c r="A146" s="4" t="s">
        <v>941</v>
      </c>
      <c r="B146" s="4" t="s">
        <v>942</v>
      </c>
      <c r="C146" s="4" t="s">
        <v>943</v>
      </c>
      <c r="D146" s="4" t="s">
        <v>944</v>
      </c>
      <c r="E146" s="4" t="s">
        <v>945</v>
      </c>
      <c r="F146" s="4" t="s">
        <v>946</v>
      </c>
      <c r="G146" s="5"/>
      <c r="H146" s="4" t="s">
        <v>947</v>
      </c>
      <c r="I146" s="4" t="s">
        <v>18</v>
      </c>
      <c r="J146" s="6" t="str">
        <f t="shared" si="6"/>
        <v>https://www.ncbi.nlm.nih.gov/datasets/genome/GCA_030272315.1</v>
      </c>
      <c r="K146" s="11" t="s">
        <v>948</v>
      </c>
      <c r="L146" s="4"/>
      <c r="M146" s="8"/>
      <c r="N146" s="8"/>
      <c r="O146" s="8"/>
      <c r="P146" s="8"/>
      <c r="Q146" s="8"/>
      <c r="R146" s="8"/>
      <c r="S146" s="8"/>
      <c r="T146" s="8"/>
      <c r="U146" s="8"/>
    </row>
    <row r="147" spans="1:21" ht="16">
      <c r="A147" s="4" t="s">
        <v>949</v>
      </c>
      <c r="B147" s="4" t="s">
        <v>950</v>
      </c>
      <c r="C147" s="4" t="s">
        <v>951</v>
      </c>
      <c r="D147" s="4" t="s">
        <v>952</v>
      </c>
      <c r="E147" s="4" t="s">
        <v>945</v>
      </c>
      <c r="F147" s="4"/>
      <c r="G147" s="5"/>
      <c r="H147" s="4" t="s">
        <v>117</v>
      </c>
      <c r="I147" s="4" t="s">
        <v>18</v>
      </c>
      <c r="J147" s="6" t="str">
        <f t="shared" si="6"/>
        <v>https://www.ncbi.nlm.nih.gov/datasets/genome/GCA_026573395.1</v>
      </c>
      <c r="K147" s="17" t="s">
        <v>953</v>
      </c>
      <c r="L147" s="4"/>
      <c r="M147" s="8"/>
      <c r="N147" s="8"/>
      <c r="O147" s="8"/>
      <c r="P147" s="8"/>
      <c r="Q147" s="8"/>
      <c r="R147" s="8"/>
      <c r="S147" s="8"/>
      <c r="T147" s="8"/>
      <c r="U147" s="8"/>
    </row>
    <row r="148" spans="1:21" ht="16">
      <c r="A148" s="4" t="s">
        <v>954</v>
      </c>
      <c r="B148" s="4" t="s">
        <v>955</v>
      </c>
      <c r="C148" s="4" t="s">
        <v>956</v>
      </c>
      <c r="D148" s="4" t="s">
        <v>957</v>
      </c>
      <c r="E148" s="4" t="s">
        <v>958</v>
      </c>
      <c r="F148" s="4" t="s">
        <v>959</v>
      </c>
      <c r="G148" s="5"/>
      <c r="H148" s="4" t="s">
        <v>79</v>
      </c>
      <c r="I148" s="4" t="s">
        <v>18</v>
      </c>
      <c r="J148" s="6" t="str">
        <f t="shared" si="6"/>
        <v>https://www.ncbi.nlm.nih.gov/datasets/genome/GCA_019359835.1</v>
      </c>
      <c r="K148" s="7" t="s">
        <v>960</v>
      </c>
      <c r="L148" s="4"/>
      <c r="M148" s="8"/>
      <c r="N148" s="8"/>
      <c r="O148" s="8"/>
      <c r="P148" s="8"/>
      <c r="Q148" s="8"/>
      <c r="R148" s="8"/>
      <c r="S148" s="8"/>
      <c r="T148" s="8"/>
      <c r="U148" s="8"/>
    </row>
    <row r="149" spans="1:21" ht="16">
      <c r="A149" s="4" t="s">
        <v>961</v>
      </c>
      <c r="B149" s="4" t="s">
        <v>962</v>
      </c>
      <c r="C149" s="4" t="s">
        <v>963</v>
      </c>
      <c r="D149" s="4" t="s">
        <v>964</v>
      </c>
      <c r="E149" s="4" t="s">
        <v>965</v>
      </c>
      <c r="F149" s="4"/>
      <c r="G149" s="5"/>
      <c r="H149" s="4" t="s">
        <v>254</v>
      </c>
      <c r="I149" s="4" t="s">
        <v>18</v>
      </c>
      <c r="J149" s="6" t="str">
        <f t="shared" si="6"/>
        <v>https://www.ncbi.nlm.nih.gov/datasets/genome/GCA_958298935.1</v>
      </c>
      <c r="K149" s="7" t="s">
        <v>966</v>
      </c>
      <c r="L149" s="4"/>
      <c r="M149" s="8"/>
      <c r="N149" s="8"/>
      <c r="O149" s="8"/>
      <c r="P149" s="8"/>
      <c r="Q149" s="8"/>
      <c r="R149" s="8"/>
      <c r="S149" s="8"/>
      <c r="T149" s="8"/>
      <c r="U149" s="8"/>
    </row>
    <row r="150" spans="1:21" ht="16">
      <c r="A150" s="4" t="s">
        <v>967</v>
      </c>
      <c r="B150" s="4" t="s">
        <v>968</v>
      </c>
      <c r="C150" s="4" t="s">
        <v>969</v>
      </c>
      <c r="D150" s="4" t="s">
        <v>970</v>
      </c>
      <c r="E150" s="4" t="s">
        <v>965</v>
      </c>
      <c r="F150" s="4"/>
      <c r="G150" s="5"/>
      <c r="H150" s="4" t="s">
        <v>254</v>
      </c>
      <c r="I150" s="4" t="s">
        <v>18</v>
      </c>
      <c r="J150" s="6" t="str">
        <f t="shared" si="6"/>
        <v>https://www.ncbi.nlm.nih.gov/datasets/genome/GCA_958298975.1</v>
      </c>
      <c r="K150" s="7" t="s">
        <v>971</v>
      </c>
      <c r="L150" s="4"/>
      <c r="M150" s="8"/>
      <c r="N150" s="8"/>
      <c r="O150" s="8"/>
      <c r="P150" s="8"/>
      <c r="Q150" s="8"/>
      <c r="R150" s="8"/>
      <c r="S150" s="8"/>
      <c r="T150" s="8"/>
      <c r="U150" s="8"/>
    </row>
    <row r="151" spans="1:21" ht="16">
      <c r="A151" s="4" t="s">
        <v>972</v>
      </c>
      <c r="B151" s="4" t="s">
        <v>973</v>
      </c>
      <c r="C151" s="4" t="s">
        <v>974</v>
      </c>
      <c r="D151" s="4" t="s">
        <v>975</v>
      </c>
      <c r="E151" s="4" t="s">
        <v>965</v>
      </c>
      <c r="F151" s="4" t="s">
        <v>976</v>
      </c>
      <c r="G151" s="5"/>
      <c r="H151" s="4" t="s">
        <v>977</v>
      </c>
      <c r="I151" s="4" t="s">
        <v>18</v>
      </c>
      <c r="J151" s="6" t="str">
        <f t="shared" si="6"/>
        <v>https://www.ncbi.nlm.nih.gov/datasets/genome/GCA_021018715.1</v>
      </c>
      <c r="K151" s="7" t="s">
        <v>978</v>
      </c>
      <c r="L151" s="4"/>
      <c r="M151" s="8"/>
      <c r="N151" s="8"/>
      <c r="O151" s="8"/>
      <c r="P151" s="8"/>
      <c r="Q151" s="8"/>
      <c r="R151" s="8"/>
      <c r="S151" s="8"/>
      <c r="T151" s="8"/>
      <c r="U151" s="8"/>
    </row>
    <row r="152" spans="1:21" ht="16">
      <c r="A152" s="4" t="s">
        <v>979</v>
      </c>
      <c r="B152" s="4" t="s">
        <v>980</v>
      </c>
      <c r="C152" s="4" t="s">
        <v>981</v>
      </c>
      <c r="D152" s="4" t="s">
        <v>982</v>
      </c>
      <c r="E152" s="4" t="s">
        <v>983</v>
      </c>
      <c r="F152" s="4" t="s">
        <v>984</v>
      </c>
      <c r="G152" s="5"/>
      <c r="H152" s="4" t="s">
        <v>17</v>
      </c>
      <c r="I152" s="4" t="s">
        <v>18</v>
      </c>
      <c r="J152" s="6" t="str">
        <f t="shared" si="6"/>
        <v>https://www.ncbi.nlm.nih.gov/datasets/genome/GCA_036346405.1</v>
      </c>
      <c r="K152" s="9" t="s">
        <v>125</v>
      </c>
      <c r="L152" s="4"/>
      <c r="M152" s="8"/>
      <c r="N152" s="8"/>
      <c r="O152" s="8"/>
      <c r="P152" s="8"/>
      <c r="Q152" s="8"/>
      <c r="R152" s="8"/>
      <c r="S152" s="8"/>
      <c r="T152" s="8"/>
      <c r="U152" s="8"/>
    </row>
    <row r="153" spans="1:21" ht="16">
      <c r="A153" s="4" t="s">
        <v>985</v>
      </c>
      <c r="B153" s="4" t="s">
        <v>986</v>
      </c>
      <c r="C153" s="4" t="s">
        <v>987</v>
      </c>
      <c r="D153" s="4" t="s">
        <v>988</v>
      </c>
      <c r="E153" s="4" t="s">
        <v>983</v>
      </c>
      <c r="F153" s="4" t="s">
        <v>989</v>
      </c>
      <c r="G153" s="5"/>
      <c r="H153" s="4" t="s">
        <v>197</v>
      </c>
      <c r="I153" s="4" t="s">
        <v>18</v>
      </c>
      <c r="J153" s="6" t="str">
        <f t="shared" si="6"/>
        <v>https://www.ncbi.nlm.nih.gov/datasets/genome/GCA_011038535.1</v>
      </c>
      <c r="K153" s="7" t="s">
        <v>990</v>
      </c>
      <c r="L153" s="4"/>
      <c r="M153" s="8"/>
      <c r="N153" s="8"/>
      <c r="O153" s="8"/>
      <c r="P153" s="8"/>
      <c r="Q153" s="8"/>
      <c r="R153" s="8"/>
      <c r="S153" s="8"/>
      <c r="T153" s="8"/>
      <c r="U153" s="8"/>
    </row>
    <row r="154" spans="1:21" ht="16">
      <c r="A154" s="4" t="s">
        <v>991</v>
      </c>
      <c r="B154" s="4" t="s">
        <v>992</v>
      </c>
      <c r="C154" s="4" t="s">
        <v>993</v>
      </c>
      <c r="D154" s="4" t="s">
        <v>994</v>
      </c>
      <c r="E154" s="4" t="s">
        <v>995</v>
      </c>
      <c r="F154" s="4" t="s">
        <v>996</v>
      </c>
      <c r="G154" s="5"/>
      <c r="H154" s="4" t="s">
        <v>348</v>
      </c>
      <c r="I154" s="4" t="s">
        <v>18</v>
      </c>
      <c r="J154" s="6" t="str">
        <f t="shared" si="6"/>
        <v>https://www.ncbi.nlm.nih.gov/datasets/genome/GCA_026929855.1</v>
      </c>
      <c r="K154" s="15" t="s">
        <v>997</v>
      </c>
      <c r="L154" s="4"/>
      <c r="M154" s="8"/>
      <c r="N154" s="8"/>
      <c r="O154" s="8"/>
      <c r="P154" s="8"/>
      <c r="Q154" s="8"/>
      <c r="R154" s="8"/>
      <c r="S154" s="8"/>
      <c r="T154" s="8"/>
      <c r="U154" s="8"/>
    </row>
    <row r="155" spans="1:21" ht="16">
      <c r="A155" s="4"/>
      <c r="B155" s="16" t="s">
        <v>998</v>
      </c>
      <c r="C155" s="16" t="s">
        <v>999</v>
      </c>
      <c r="D155" s="4" t="s">
        <v>1000</v>
      </c>
      <c r="E155" s="4" t="s">
        <v>1001</v>
      </c>
      <c r="F155" s="4"/>
      <c r="G155" s="5" t="s">
        <v>260</v>
      </c>
      <c r="H155" s="4" t="s">
        <v>237</v>
      </c>
      <c r="I155" s="4" t="s">
        <v>245</v>
      </c>
      <c r="J155" s="15" t="s">
        <v>1002</v>
      </c>
      <c r="K155" s="15" t="s">
        <v>1003</v>
      </c>
      <c r="L155" s="4"/>
      <c r="M155" s="8"/>
      <c r="N155" s="8"/>
      <c r="O155" s="8"/>
      <c r="P155" s="8"/>
      <c r="Q155" s="8"/>
      <c r="R155" s="8"/>
      <c r="S155" s="8"/>
      <c r="T155" s="8"/>
      <c r="U155" s="8"/>
    </row>
    <row r="156" spans="1:21" ht="16">
      <c r="A156" s="4" t="s">
        <v>1004</v>
      </c>
      <c r="B156" s="4" t="s">
        <v>1005</v>
      </c>
      <c r="C156" s="4" t="s">
        <v>1006</v>
      </c>
      <c r="D156" s="4" t="s">
        <v>1007</v>
      </c>
      <c r="E156" s="4" t="s">
        <v>1008</v>
      </c>
      <c r="F156" s="4"/>
      <c r="G156" s="5"/>
      <c r="H156" s="4" t="s">
        <v>1009</v>
      </c>
      <c r="I156" s="4" t="s">
        <v>18</v>
      </c>
      <c r="J156" s="6" t="str">
        <f>"https://www.ncbi.nlm.nih.gov/datasets/genome/" &amp; A156</f>
        <v>https://www.ncbi.nlm.nih.gov/datasets/genome/GCA_947311845.1</v>
      </c>
      <c r="K156" s="15" t="s">
        <v>1010</v>
      </c>
      <c r="L156" s="4"/>
      <c r="M156" s="8"/>
      <c r="N156" s="8"/>
      <c r="O156" s="8"/>
      <c r="P156" s="8"/>
      <c r="Q156" s="8"/>
      <c r="R156" s="8"/>
      <c r="S156" s="8"/>
      <c r="T156" s="8"/>
      <c r="U156" s="8"/>
    </row>
    <row r="157" spans="1:21" ht="16">
      <c r="A157" s="13"/>
      <c r="B157" s="16" t="s">
        <v>1011</v>
      </c>
      <c r="C157" s="16" t="s">
        <v>1012</v>
      </c>
      <c r="D157" s="4" t="s">
        <v>1013</v>
      </c>
      <c r="E157" s="4" t="s">
        <v>1014</v>
      </c>
      <c r="F157" s="4"/>
      <c r="G157" s="5" t="s">
        <v>260</v>
      </c>
      <c r="H157" s="4" t="s">
        <v>237</v>
      </c>
      <c r="I157" s="4" t="s">
        <v>245</v>
      </c>
      <c r="J157" s="15" t="s">
        <v>1015</v>
      </c>
      <c r="K157" s="15" t="s">
        <v>1016</v>
      </c>
      <c r="L157" s="4"/>
      <c r="M157" s="8"/>
      <c r="N157" s="8"/>
      <c r="O157" s="8"/>
      <c r="P157" s="8"/>
      <c r="Q157" s="8"/>
      <c r="R157" s="8"/>
      <c r="S157" s="8"/>
      <c r="T157" s="8"/>
      <c r="U157" s="8"/>
    </row>
    <row r="158" spans="1:21" ht="16">
      <c r="A158" s="4" t="s">
        <v>1017</v>
      </c>
      <c r="B158" s="4" t="s">
        <v>1018</v>
      </c>
      <c r="C158" s="4" t="s">
        <v>1019</v>
      </c>
      <c r="D158" s="4" t="s">
        <v>1020</v>
      </c>
      <c r="E158" s="4" t="s">
        <v>1021</v>
      </c>
      <c r="F158" s="4"/>
      <c r="G158" s="5"/>
      <c r="H158" s="4" t="s">
        <v>872</v>
      </c>
      <c r="I158" s="4" t="s">
        <v>18</v>
      </c>
      <c r="J158" s="6" t="str">
        <f t="shared" ref="J158:J177" si="7">"https://www.ncbi.nlm.nih.gov/datasets/genome/" &amp; A158</f>
        <v>https://www.ncbi.nlm.nih.gov/datasets/genome/GCA_012064385.1</v>
      </c>
      <c r="K158" s="4" t="s">
        <v>1022</v>
      </c>
      <c r="L158" s="4"/>
      <c r="M158" s="8"/>
      <c r="N158" s="8"/>
      <c r="O158" s="8"/>
      <c r="P158" s="8"/>
      <c r="Q158" s="8"/>
      <c r="R158" s="8"/>
      <c r="S158" s="8"/>
      <c r="T158" s="8"/>
      <c r="U158" s="8"/>
    </row>
    <row r="159" spans="1:21" ht="16">
      <c r="A159" s="4" t="s">
        <v>1023</v>
      </c>
      <c r="B159" s="4" t="s">
        <v>1024</v>
      </c>
      <c r="C159" s="4" t="s">
        <v>1025</v>
      </c>
      <c r="D159" s="4" t="s">
        <v>1026</v>
      </c>
      <c r="E159" s="4" t="s">
        <v>1027</v>
      </c>
      <c r="F159" s="4" t="s">
        <v>1028</v>
      </c>
      <c r="G159" s="5"/>
      <c r="H159" s="4" t="s">
        <v>197</v>
      </c>
      <c r="I159" s="4" t="s">
        <v>18</v>
      </c>
      <c r="J159" s="6" t="str">
        <f t="shared" si="7"/>
        <v>https://www.ncbi.nlm.nih.gov/datasets/genome/GCA_005191435.1</v>
      </c>
      <c r="K159" s="15" t="s">
        <v>1029</v>
      </c>
      <c r="L159" s="4"/>
      <c r="M159" s="8"/>
      <c r="N159" s="8"/>
      <c r="O159" s="8"/>
      <c r="P159" s="8"/>
      <c r="Q159" s="8"/>
      <c r="R159" s="8"/>
      <c r="S159" s="8"/>
      <c r="T159" s="8"/>
      <c r="U159" s="8"/>
    </row>
    <row r="160" spans="1:21" ht="16">
      <c r="A160" s="4" t="s">
        <v>1030</v>
      </c>
      <c r="B160" s="4" t="s">
        <v>1031</v>
      </c>
      <c r="C160" s="4" t="s">
        <v>1032</v>
      </c>
      <c r="D160" s="4" t="s">
        <v>1033</v>
      </c>
      <c r="E160" s="4" t="s">
        <v>1034</v>
      </c>
      <c r="F160" s="10">
        <v>14019</v>
      </c>
      <c r="G160" s="5"/>
      <c r="H160" s="4" t="s">
        <v>17</v>
      </c>
      <c r="I160" s="4" t="s">
        <v>18</v>
      </c>
      <c r="J160" s="6" t="str">
        <f t="shared" si="7"/>
        <v>https://www.ncbi.nlm.nih.gov/datasets/genome/GCA_036346415.1</v>
      </c>
      <c r="K160" s="9" t="s">
        <v>125</v>
      </c>
      <c r="L160" s="4"/>
      <c r="M160" s="8"/>
      <c r="N160" s="8"/>
      <c r="O160" s="8"/>
      <c r="P160" s="8"/>
      <c r="Q160" s="8"/>
      <c r="R160" s="8"/>
      <c r="S160" s="8"/>
      <c r="T160" s="8"/>
      <c r="U160" s="8"/>
    </row>
    <row r="161" spans="1:21" ht="16">
      <c r="A161" s="4" t="s">
        <v>1035</v>
      </c>
      <c r="B161" s="4" t="s">
        <v>1036</v>
      </c>
      <c r="C161" s="4" t="s">
        <v>1037</v>
      </c>
      <c r="D161" s="4" t="s">
        <v>1038</v>
      </c>
      <c r="E161" s="4" t="s">
        <v>1039</v>
      </c>
      <c r="F161" s="4" t="s">
        <v>1040</v>
      </c>
      <c r="G161" s="5"/>
      <c r="H161" s="4" t="s">
        <v>17</v>
      </c>
      <c r="I161" s="4" t="s">
        <v>18</v>
      </c>
      <c r="J161" s="6" t="str">
        <f t="shared" si="7"/>
        <v>https://www.ncbi.nlm.nih.gov/datasets/genome/GCA_036346355.1</v>
      </c>
      <c r="K161" s="9" t="s">
        <v>125</v>
      </c>
      <c r="L161" s="4"/>
      <c r="M161" s="8"/>
      <c r="N161" s="8"/>
      <c r="O161" s="8"/>
      <c r="P161" s="8"/>
      <c r="Q161" s="8"/>
      <c r="R161" s="8"/>
      <c r="S161" s="8"/>
      <c r="T161" s="8"/>
      <c r="U161" s="8"/>
    </row>
    <row r="162" spans="1:21" ht="16">
      <c r="A162" s="4" t="s">
        <v>1041</v>
      </c>
      <c r="B162" s="4" t="s">
        <v>1042</v>
      </c>
      <c r="C162" s="4" t="s">
        <v>1043</v>
      </c>
      <c r="D162" s="4" t="s">
        <v>1044</v>
      </c>
      <c r="E162" s="4" t="s">
        <v>1045</v>
      </c>
      <c r="F162" s="4" t="s">
        <v>1046</v>
      </c>
      <c r="G162" s="5"/>
      <c r="H162" s="4" t="s">
        <v>1047</v>
      </c>
      <c r="I162" s="4" t="s">
        <v>18</v>
      </c>
      <c r="J162" s="6" t="str">
        <f t="shared" si="7"/>
        <v>https://www.ncbi.nlm.nih.gov/datasets/genome/GCA_020631735.1</v>
      </c>
      <c r="K162" s="17" t="s">
        <v>1048</v>
      </c>
      <c r="L162" s="4"/>
      <c r="M162" s="8"/>
      <c r="N162" s="8"/>
      <c r="O162" s="8"/>
      <c r="P162" s="8"/>
      <c r="Q162" s="8"/>
      <c r="R162" s="8"/>
      <c r="S162" s="8"/>
      <c r="T162" s="8"/>
      <c r="U162" s="8"/>
    </row>
    <row r="163" spans="1:21" ht="16">
      <c r="A163" s="4" t="s">
        <v>1049</v>
      </c>
      <c r="B163" s="4" t="s">
        <v>1050</v>
      </c>
      <c r="C163" s="4" t="s">
        <v>1051</v>
      </c>
      <c r="D163" s="4" t="s">
        <v>1052</v>
      </c>
      <c r="E163" s="4" t="s">
        <v>1053</v>
      </c>
      <c r="F163" s="4" t="s">
        <v>1054</v>
      </c>
      <c r="G163" s="5"/>
      <c r="H163" s="4" t="s">
        <v>1055</v>
      </c>
      <c r="I163" s="4" t="s">
        <v>18</v>
      </c>
      <c r="J163" s="6" t="str">
        <f t="shared" si="7"/>
        <v>https://www.ncbi.nlm.nih.gov/datasets/genome/GCA_022457205.1</v>
      </c>
      <c r="K163" s="17" t="s">
        <v>1048</v>
      </c>
      <c r="L163" s="4"/>
      <c r="M163" s="8"/>
      <c r="N163" s="8"/>
      <c r="O163" s="8"/>
      <c r="P163" s="8"/>
      <c r="Q163" s="8"/>
      <c r="R163" s="8"/>
      <c r="S163" s="8"/>
      <c r="T163" s="8"/>
      <c r="U163" s="8"/>
    </row>
    <row r="164" spans="1:21" ht="16">
      <c r="A164" s="4" t="s">
        <v>1056</v>
      </c>
      <c r="B164" s="4" t="s">
        <v>1057</v>
      </c>
      <c r="C164" s="4" t="s">
        <v>1058</v>
      </c>
      <c r="D164" s="4" t="s">
        <v>1059</v>
      </c>
      <c r="E164" s="4" t="s">
        <v>1053</v>
      </c>
      <c r="F164" s="4" t="s">
        <v>1060</v>
      </c>
      <c r="G164" s="5"/>
      <c r="H164" s="4" t="s">
        <v>1061</v>
      </c>
      <c r="I164" s="4" t="s">
        <v>18</v>
      </c>
      <c r="J164" s="6" t="str">
        <f t="shared" si="7"/>
        <v>https://www.ncbi.nlm.nih.gov/datasets/genome/GCA_003544955.1</v>
      </c>
      <c r="K164" s="7" t="s">
        <v>1062</v>
      </c>
      <c r="L164" s="4"/>
      <c r="M164" s="8"/>
      <c r="N164" s="8"/>
      <c r="O164" s="8"/>
      <c r="P164" s="8"/>
      <c r="Q164" s="8"/>
      <c r="R164" s="8"/>
      <c r="S164" s="8"/>
      <c r="T164" s="8"/>
      <c r="U164" s="8"/>
    </row>
    <row r="165" spans="1:21" ht="16">
      <c r="A165" s="4" t="s">
        <v>1063</v>
      </c>
      <c r="B165" s="4" t="s">
        <v>1064</v>
      </c>
      <c r="C165" s="4" t="s">
        <v>1065</v>
      </c>
      <c r="D165" s="4" t="s">
        <v>1066</v>
      </c>
      <c r="E165" s="4" t="s">
        <v>1053</v>
      </c>
      <c r="F165" s="4" t="s">
        <v>1067</v>
      </c>
      <c r="G165" s="5"/>
      <c r="H165" s="4" t="s">
        <v>31</v>
      </c>
      <c r="I165" s="4" t="s">
        <v>18</v>
      </c>
      <c r="J165" s="6" t="str">
        <f t="shared" si="7"/>
        <v>https://www.ncbi.nlm.nih.gov/datasets/genome/GCA_900500655.1</v>
      </c>
      <c r="K165" s="4" t="s">
        <v>364</v>
      </c>
      <c r="L165" s="4"/>
      <c r="M165" s="8"/>
      <c r="N165" s="8"/>
      <c r="O165" s="8"/>
      <c r="P165" s="8"/>
      <c r="Q165" s="8"/>
      <c r="R165" s="8"/>
      <c r="S165" s="8"/>
      <c r="T165" s="8"/>
      <c r="U165" s="8"/>
    </row>
    <row r="166" spans="1:21" ht="16">
      <c r="A166" s="4" t="s">
        <v>1068</v>
      </c>
      <c r="B166" s="4" t="s">
        <v>1069</v>
      </c>
      <c r="C166" s="4" t="s">
        <v>1070</v>
      </c>
      <c r="D166" s="4" t="s">
        <v>1071</v>
      </c>
      <c r="E166" s="4" t="s">
        <v>1072</v>
      </c>
      <c r="F166" s="4"/>
      <c r="G166" s="5"/>
      <c r="H166" s="4" t="s">
        <v>31</v>
      </c>
      <c r="I166" s="4" t="s">
        <v>18</v>
      </c>
      <c r="J166" s="6" t="str">
        <f t="shared" si="7"/>
        <v>https://www.ncbi.nlm.nih.gov/datasets/genome/GCA_902687465.1</v>
      </c>
      <c r="K166" s="17" t="s">
        <v>1073</v>
      </c>
      <c r="L166" s="4"/>
      <c r="M166" s="8"/>
      <c r="N166" s="8"/>
      <c r="O166" s="8"/>
      <c r="P166" s="8"/>
      <c r="Q166" s="8"/>
      <c r="R166" s="8"/>
      <c r="S166" s="8"/>
      <c r="T166" s="8"/>
      <c r="U166" s="8"/>
    </row>
    <row r="167" spans="1:21" ht="16">
      <c r="A167" s="4" t="s">
        <v>1074</v>
      </c>
      <c r="B167" s="4" t="s">
        <v>1075</v>
      </c>
      <c r="C167" s="4" t="s">
        <v>1076</v>
      </c>
      <c r="D167" s="4" t="s">
        <v>1077</v>
      </c>
      <c r="E167" s="4" t="s">
        <v>1072</v>
      </c>
      <c r="F167" s="4" t="s">
        <v>1078</v>
      </c>
      <c r="G167" s="5" t="s">
        <v>203</v>
      </c>
      <c r="H167" s="4" t="s">
        <v>977</v>
      </c>
      <c r="I167" s="4" t="s">
        <v>18</v>
      </c>
      <c r="J167" s="6" t="str">
        <f t="shared" si="7"/>
        <v>https://www.ncbi.nlm.nih.gov/datasets/genome/GCA_016097815.1</v>
      </c>
      <c r="K167" s="7" t="s">
        <v>1079</v>
      </c>
      <c r="L167" s="4"/>
      <c r="M167" s="8"/>
      <c r="N167" s="8"/>
      <c r="O167" s="8"/>
      <c r="P167" s="8"/>
      <c r="Q167" s="8"/>
      <c r="R167" s="8"/>
      <c r="S167" s="8"/>
      <c r="T167" s="8"/>
      <c r="U167" s="8"/>
    </row>
    <row r="168" spans="1:21" ht="16">
      <c r="A168" s="4" t="s">
        <v>1080</v>
      </c>
      <c r="B168" s="4" t="s">
        <v>1081</v>
      </c>
      <c r="C168" s="4" t="s">
        <v>1082</v>
      </c>
      <c r="D168" s="4" t="s">
        <v>1083</v>
      </c>
      <c r="E168" s="4" t="s">
        <v>1084</v>
      </c>
      <c r="F168" s="4" t="s">
        <v>1085</v>
      </c>
      <c r="G168" s="5" t="s">
        <v>1086</v>
      </c>
      <c r="H168" s="4" t="s">
        <v>214</v>
      </c>
      <c r="I168" s="4" t="s">
        <v>18</v>
      </c>
      <c r="J168" s="6" t="str">
        <f t="shared" si="7"/>
        <v>https://www.ncbi.nlm.nih.gov/datasets/genome/GCA_000263155.2</v>
      </c>
      <c r="K168" s="17" t="s">
        <v>1087</v>
      </c>
      <c r="L168" s="4"/>
      <c r="M168" s="8"/>
      <c r="N168" s="8"/>
      <c r="O168" s="8"/>
      <c r="P168" s="8"/>
      <c r="Q168" s="8"/>
      <c r="R168" s="8"/>
      <c r="S168" s="8"/>
      <c r="T168" s="8"/>
      <c r="U168" s="8"/>
    </row>
    <row r="169" spans="1:21" ht="16">
      <c r="A169" s="4" t="s">
        <v>1088</v>
      </c>
      <c r="B169" s="4" t="s">
        <v>1089</v>
      </c>
      <c r="C169" s="4" t="s">
        <v>1090</v>
      </c>
      <c r="D169" s="4" t="s">
        <v>1091</v>
      </c>
      <c r="E169" s="4" t="s">
        <v>1084</v>
      </c>
      <c r="F169" s="4" t="s">
        <v>1092</v>
      </c>
      <c r="G169" s="5"/>
      <c r="H169" s="4" t="s">
        <v>1093</v>
      </c>
      <c r="I169" s="4" t="s">
        <v>18</v>
      </c>
      <c r="J169" s="6" t="str">
        <f t="shared" si="7"/>
        <v>https://www.ncbi.nlm.nih.gov/datasets/genome/GCA_001652605.1</v>
      </c>
      <c r="K169" s="17" t="s">
        <v>1094</v>
      </c>
      <c r="L169" s="4"/>
      <c r="M169" s="8"/>
      <c r="N169" s="8"/>
      <c r="O169" s="8"/>
      <c r="P169" s="8"/>
      <c r="Q169" s="8"/>
      <c r="R169" s="8"/>
      <c r="S169" s="8"/>
      <c r="T169" s="8"/>
      <c r="U169" s="8"/>
    </row>
    <row r="170" spans="1:21" ht="16">
      <c r="A170" s="4" t="s">
        <v>1095</v>
      </c>
      <c r="B170" s="4" t="s">
        <v>1096</v>
      </c>
      <c r="C170" s="4" t="s">
        <v>1097</v>
      </c>
      <c r="D170" s="4" t="s">
        <v>1098</v>
      </c>
      <c r="E170" s="4" t="s">
        <v>1099</v>
      </c>
      <c r="F170" s="4" t="s">
        <v>1100</v>
      </c>
      <c r="G170" s="5" t="s">
        <v>1086</v>
      </c>
      <c r="H170" s="4" t="s">
        <v>79</v>
      </c>
      <c r="I170" s="4" t="s">
        <v>18</v>
      </c>
      <c r="J170" s="6" t="str">
        <f t="shared" si="7"/>
        <v>https://www.ncbi.nlm.nih.gov/datasets/genome/GCA_005286985.1</v>
      </c>
      <c r="K170" s="7" t="s">
        <v>1101</v>
      </c>
      <c r="L170" s="4"/>
      <c r="M170" s="8"/>
      <c r="N170" s="8"/>
      <c r="O170" s="8"/>
      <c r="P170" s="8"/>
      <c r="Q170" s="8"/>
      <c r="R170" s="8"/>
      <c r="S170" s="8"/>
      <c r="T170" s="8"/>
      <c r="U170" s="8"/>
    </row>
    <row r="171" spans="1:21" ht="16">
      <c r="A171" s="4" t="s">
        <v>1102</v>
      </c>
      <c r="B171" s="4" t="s">
        <v>1103</v>
      </c>
      <c r="C171" s="4" t="s">
        <v>1104</v>
      </c>
      <c r="D171" s="4" t="s">
        <v>1105</v>
      </c>
      <c r="E171" s="4" t="s">
        <v>1099</v>
      </c>
      <c r="F171" s="4" t="s">
        <v>1106</v>
      </c>
      <c r="G171" s="5"/>
      <c r="H171" s="4" t="s">
        <v>1107</v>
      </c>
      <c r="I171" s="4" t="s">
        <v>18</v>
      </c>
      <c r="J171" s="6" t="str">
        <f t="shared" si="7"/>
        <v>https://www.ncbi.nlm.nih.gov/datasets/genome/GCA_012934335.1</v>
      </c>
      <c r="K171" s="7" t="s">
        <v>1108</v>
      </c>
      <c r="L171" s="4"/>
      <c r="M171" s="8"/>
      <c r="N171" s="8"/>
      <c r="O171" s="8"/>
      <c r="P171" s="8"/>
      <c r="Q171" s="8"/>
      <c r="R171" s="8"/>
      <c r="S171" s="8"/>
      <c r="T171" s="8"/>
      <c r="U171" s="8"/>
    </row>
    <row r="172" spans="1:21" ht="16">
      <c r="A172" s="4" t="s">
        <v>1109</v>
      </c>
      <c r="B172" s="4" t="s">
        <v>1110</v>
      </c>
      <c r="C172" s="4" t="s">
        <v>1111</v>
      </c>
      <c r="D172" s="4" t="s">
        <v>1112</v>
      </c>
      <c r="E172" s="4" t="s">
        <v>1113</v>
      </c>
      <c r="F172" s="4" t="s">
        <v>1114</v>
      </c>
      <c r="G172" s="5"/>
      <c r="H172" s="4" t="s">
        <v>1115</v>
      </c>
      <c r="I172" s="4" t="s">
        <v>18</v>
      </c>
      <c r="J172" s="6" t="str">
        <f t="shared" si="7"/>
        <v>https://www.ncbi.nlm.nih.gov/datasets/genome/GCA_000003195.3</v>
      </c>
      <c r="K172" s="7" t="s">
        <v>1116</v>
      </c>
      <c r="L172" s="4"/>
      <c r="M172" s="8"/>
      <c r="N172" s="8"/>
      <c r="O172" s="8"/>
      <c r="P172" s="8"/>
      <c r="Q172" s="8"/>
      <c r="R172" s="8"/>
      <c r="S172" s="8"/>
      <c r="T172" s="8"/>
      <c r="U172" s="8"/>
    </row>
    <row r="173" spans="1:21" ht="16">
      <c r="A173" s="4" t="s">
        <v>1117</v>
      </c>
      <c r="B173" s="4" t="s">
        <v>1118</v>
      </c>
      <c r="C173" s="4" t="s">
        <v>1119</v>
      </c>
      <c r="D173" s="4" t="s">
        <v>1120</v>
      </c>
      <c r="E173" s="4" t="s">
        <v>1113</v>
      </c>
      <c r="F173" s="4" t="s">
        <v>1121</v>
      </c>
      <c r="G173" s="5"/>
      <c r="H173" s="4" t="s">
        <v>1122</v>
      </c>
      <c r="I173" s="4" t="s">
        <v>18</v>
      </c>
      <c r="J173" s="6" t="str">
        <f t="shared" si="7"/>
        <v>https://www.ncbi.nlm.nih.gov/datasets/genome/GCA_033546955.1</v>
      </c>
      <c r="K173" s="15" t="s">
        <v>1123</v>
      </c>
      <c r="L173" s="4"/>
      <c r="M173" s="8"/>
      <c r="N173" s="8"/>
      <c r="O173" s="8"/>
      <c r="P173" s="8"/>
      <c r="Q173" s="8"/>
      <c r="R173" s="8"/>
      <c r="S173" s="8"/>
      <c r="T173" s="8"/>
      <c r="U173" s="8"/>
    </row>
    <row r="174" spans="1:21" ht="16">
      <c r="A174" s="4" t="s">
        <v>1124</v>
      </c>
      <c r="B174" s="4" t="s">
        <v>1125</v>
      </c>
      <c r="C174" s="4" t="s">
        <v>1126</v>
      </c>
      <c r="D174" s="4" t="s">
        <v>1127</v>
      </c>
      <c r="E174" s="4" t="s">
        <v>1113</v>
      </c>
      <c r="F174" s="4" t="s">
        <v>1128</v>
      </c>
      <c r="G174" s="5"/>
      <c r="H174" s="4" t="s">
        <v>1122</v>
      </c>
      <c r="I174" s="4" t="s">
        <v>18</v>
      </c>
      <c r="J174" s="6" t="str">
        <f t="shared" si="7"/>
        <v>https://www.ncbi.nlm.nih.gov/datasets/genome/GCA_033546975.1</v>
      </c>
      <c r="K174" s="15" t="s">
        <v>1129</v>
      </c>
      <c r="L174" s="4"/>
      <c r="M174" s="8"/>
      <c r="N174" s="8"/>
      <c r="O174" s="8"/>
      <c r="P174" s="8"/>
      <c r="Q174" s="8"/>
      <c r="R174" s="8"/>
      <c r="S174" s="8"/>
      <c r="T174" s="8"/>
      <c r="U174" s="8"/>
    </row>
    <row r="175" spans="1:21" ht="16">
      <c r="A175" s="4" t="s">
        <v>1130</v>
      </c>
      <c r="B175" s="4" t="s">
        <v>1131</v>
      </c>
      <c r="C175" s="4" t="s">
        <v>1132</v>
      </c>
      <c r="D175" s="4" t="s">
        <v>1133</v>
      </c>
      <c r="E175" s="4" t="s">
        <v>1113</v>
      </c>
      <c r="F175" s="4"/>
      <c r="G175" s="5"/>
      <c r="H175" s="4" t="s">
        <v>31</v>
      </c>
      <c r="I175" s="4" t="s">
        <v>18</v>
      </c>
      <c r="J175" s="6" t="str">
        <f t="shared" si="7"/>
        <v>https://www.ncbi.nlm.nih.gov/datasets/genome/GCA_903166285.1</v>
      </c>
      <c r="K175" s="4" t="s">
        <v>1134</v>
      </c>
      <c r="L175" s="4"/>
      <c r="M175" s="8"/>
      <c r="N175" s="8"/>
      <c r="O175" s="8"/>
      <c r="P175" s="8"/>
      <c r="Q175" s="8"/>
      <c r="R175" s="8"/>
      <c r="S175" s="8"/>
      <c r="T175" s="8"/>
      <c r="U175" s="8"/>
    </row>
    <row r="176" spans="1:21" ht="16">
      <c r="A176" s="4" t="s">
        <v>1135</v>
      </c>
      <c r="B176" s="4" t="s">
        <v>1136</v>
      </c>
      <c r="C176" s="4" t="s">
        <v>1137</v>
      </c>
      <c r="D176" s="4" t="s">
        <v>1138</v>
      </c>
      <c r="E176" s="4" t="s">
        <v>1113</v>
      </c>
      <c r="F176" s="4"/>
      <c r="G176" s="5"/>
      <c r="H176" s="4" t="s">
        <v>71</v>
      </c>
      <c r="I176" s="4" t="s">
        <v>18</v>
      </c>
      <c r="J176" s="6" t="str">
        <f t="shared" si="7"/>
        <v>https://www.ncbi.nlm.nih.gov/datasets/genome/GCA_947241725.1</v>
      </c>
      <c r="K176" s="11" t="s">
        <v>1139</v>
      </c>
      <c r="L176" s="4"/>
      <c r="M176" s="8"/>
      <c r="N176" s="8"/>
      <c r="O176" s="8"/>
      <c r="P176" s="8"/>
      <c r="Q176" s="8"/>
      <c r="R176" s="8"/>
      <c r="S176" s="8"/>
      <c r="T176" s="8"/>
      <c r="U176" s="8"/>
    </row>
    <row r="177" spans="1:21" ht="16">
      <c r="A177" s="4" t="s">
        <v>1140</v>
      </c>
      <c r="B177" s="4" t="s">
        <v>1141</v>
      </c>
      <c r="C177" s="4" t="s">
        <v>1142</v>
      </c>
      <c r="D177" s="4" t="s">
        <v>1143</v>
      </c>
      <c r="E177" s="4" t="s">
        <v>1144</v>
      </c>
      <c r="F177" s="4" t="s">
        <v>1145</v>
      </c>
      <c r="G177" s="5"/>
      <c r="H177" s="4" t="s">
        <v>204</v>
      </c>
      <c r="I177" s="4" t="s">
        <v>18</v>
      </c>
      <c r="J177" s="6" t="str">
        <f t="shared" si="7"/>
        <v>https://www.ncbi.nlm.nih.gov/datasets/genome/GCA_008808055.3</v>
      </c>
      <c r="K177" s="4" t="s">
        <v>364</v>
      </c>
      <c r="L177" s="4"/>
      <c r="M177" s="8"/>
      <c r="N177" s="8"/>
      <c r="O177" s="8"/>
      <c r="P177" s="8"/>
      <c r="Q177" s="8"/>
      <c r="R177" s="8"/>
      <c r="S177" s="8"/>
      <c r="T177" s="8"/>
      <c r="U177" s="8"/>
    </row>
    <row r="178" spans="1:21" ht="16">
      <c r="A178" s="13"/>
      <c r="B178" s="16" t="s">
        <v>1146</v>
      </c>
      <c r="C178" s="17" t="s">
        <v>1147</v>
      </c>
      <c r="D178" s="11" t="s">
        <v>1148</v>
      </c>
      <c r="E178" s="11" t="s">
        <v>1149</v>
      </c>
      <c r="F178" s="4"/>
      <c r="G178" s="5" t="s">
        <v>171</v>
      </c>
      <c r="H178" s="4" t="s">
        <v>261</v>
      </c>
      <c r="I178" s="4" t="s">
        <v>245</v>
      </c>
      <c r="J178" s="15" t="s">
        <v>1150</v>
      </c>
      <c r="K178" s="15" t="s">
        <v>1151</v>
      </c>
      <c r="L178" s="4"/>
      <c r="M178" s="8"/>
      <c r="N178" s="8"/>
      <c r="O178" s="8"/>
      <c r="P178" s="8"/>
      <c r="Q178" s="8"/>
      <c r="R178" s="8"/>
      <c r="S178" s="8"/>
      <c r="T178" s="8"/>
      <c r="U178" s="8"/>
    </row>
    <row r="179" spans="1:21" ht="16">
      <c r="A179" s="13"/>
      <c r="B179" s="16" t="s">
        <v>1152</v>
      </c>
      <c r="C179" s="16" t="s">
        <v>1153</v>
      </c>
      <c r="D179" s="4" t="s">
        <v>1154</v>
      </c>
      <c r="E179" s="4" t="s">
        <v>1155</v>
      </c>
      <c r="F179" s="4"/>
      <c r="G179" s="5" t="s">
        <v>171</v>
      </c>
      <c r="H179" s="4" t="s">
        <v>261</v>
      </c>
      <c r="I179" s="4" t="s">
        <v>245</v>
      </c>
      <c r="J179" s="15" t="s">
        <v>1156</v>
      </c>
      <c r="K179" s="15" t="s">
        <v>1157</v>
      </c>
      <c r="L179" s="4"/>
      <c r="M179" s="8"/>
      <c r="N179" s="8"/>
      <c r="O179" s="8"/>
      <c r="P179" s="8"/>
      <c r="Q179" s="8"/>
      <c r="R179" s="8"/>
      <c r="S179" s="8"/>
      <c r="T179" s="8"/>
      <c r="U179" s="8"/>
    </row>
    <row r="180" spans="1:21" ht="16">
      <c r="A180" s="4" t="s">
        <v>1158</v>
      </c>
      <c r="B180" s="4" t="s">
        <v>1159</v>
      </c>
      <c r="C180" s="4" t="s">
        <v>1160</v>
      </c>
      <c r="D180" s="4" t="s">
        <v>1161</v>
      </c>
      <c r="E180" s="4" t="s">
        <v>1162</v>
      </c>
      <c r="F180" s="4" t="s">
        <v>1163</v>
      </c>
      <c r="G180" s="5"/>
      <c r="H180" s="4" t="s">
        <v>79</v>
      </c>
      <c r="I180" s="4" t="s">
        <v>18</v>
      </c>
      <c r="J180" s="6" t="str">
        <f t="shared" ref="J180:J184" si="8">"https://www.ncbi.nlm.nih.gov/datasets/genome/" &amp; A180</f>
        <v>https://www.ncbi.nlm.nih.gov/datasets/genome/GCA_019208055.1</v>
      </c>
      <c r="K180" s="17" t="s">
        <v>1164</v>
      </c>
      <c r="L180" s="4"/>
      <c r="M180" s="8"/>
      <c r="N180" s="8"/>
      <c r="O180" s="8"/>
      <c r="P180" s="8"/>
      <c r="Q180" s="8"/>
      <c r="R180" s="8"/>
      <c r="S180" s="8"/>
      <c r="T180" s="8"/>
      <c r="U180" s="8"/>
    </row>
    <row r="181" spans="1:21" ht="16">
      <c r="A181" s="4" t="s">
        <v>1165</v>
      </c>
      <c r="B181" s="4" t="s">
        <v>1166</v>
      </c>
      <c r="C181" s="4" t="s">
        <v>1167</v>
      </c>
      <c r="D181" s="4" t="s">
        <v>1168</v>
      </c>
      <c r="E181" s="4" t="s">
        <v>1169</v>
      </c>
      <c r="F181" s="4" t="s">
        <v>1170</v>
      </c>
      <c r="G181" s="5"/>
      <c r="H181" s="4" t="s">
        <v>1171</v>
      </c>
      <c r="I181" s="4" t="s">
        <v>18</v>
      </c>
      <c r="J181" s="6" t="str">
        <f t="shared" si="8"/>
        <v>https://www.ncbi.nlm.nih.gov/datasets/genome/GCA_020804685.1</v>
      </c>
      <c r="K181" s="7" t="s">
        <v>1172</v>
      </c>
      <c r="L181" s="4"/>
      <c r="M181" s="8"/>
      <c r="N181" s="8"/>
      <c r="O181" s="8"/>
      <c r="P181" s="8"/>
      <c r="Q181" s="8"/>
      <c r="R181" s="8"/>
      <c r="S181" s="8"/>
      <c r="T181" s="8"/>
      <c r="U181" s="8"/>
    </row>
    <row r="182" spans="1:21" ht="16">
      <c r="A182" s="4" t="s">
        <v>1173</v>
      </c>
      <c r="B182" s="4" t="s">
        <v>1174</v>
      </c>
      <c r="C182" s="4" t="s">
        <v>1175</v>
      </c>
      <c r="D182" s="4" t="s">
        <v>1176</v>
      </c>
      <c r="E182" s="4" t="s">
        <v>1177</v>
      </c>
      <c r="F182" s="4" t="s">
        <v>1178</v>
      </c>
      <c r="G182" s="5"/>
      <c r="H182" s="4" t="s">
        <v>700</v>
      </c>
      <c r="I182" s="4" t="s">
        <v>18</v>
      </c>
      <c r="J182" s="6" t="str">
        <f t="shared" si="8"/>
        <v>https://www.ncbi.nlm.nih.gov/datasets/genome/GCA_018135685.1</v>
      </c>
      <c r="K182" s="15" t="s">
        <v>1179</v>
      </c>
      <c r="L182" s="4"/>
      <c r="M182" s="8"/>
      <c r="N182" s="8"/>
      <c r="O182" s="8"/>
      <c r="P182" s="8"/>
      <c r="Q182" s="8"/>
      <c r="R182" s="8"/>
      <c r="S182" s="8"/>
      <c r="T182" s="8"/>
      <c r="U182" s="8"/>
    </row>
    <row r="183" spans="1:21" ht="16">
      <c r="A183" s="4" t="s">
        <v>1180</v>
      </c>
      <c r="B183" s="4" t="s">
        <v>1181</v>
      </c>
      <c r="C183" s="4" t="s">
        <v>1182</v>
      </c>
      <c r="D183" s="4" t="s">
        <v>1183</v>
      </c>
      <c r="E183" s="4" t="s">
        <v>1177</v>
      </c>
      <c r="F183" s="4" t="s">
        <v>1184</v>
      </c>
      <c r="G183" s="5"/>
      <c r="H183" s="4" t="s">
        <v>79</v>
      </c>
      <c r="I183" s="4" t="s">
        <v>18</v>
      </c>
      <c r="J183" s="6" t="str">
        <f t="shared" si="8"/>
        <v>https://www.ncbi.nlm.nih.gov/datasets/genome/GCA_025603265.1</v>
      </c>
      <c r="K183" s="15" t="s">
        <v>1185</v>
      </c>
      <c r="L183" s="4"/>
      <c r="M183" s="8"/>
      <c r="N183" s="8"/>
      <c r="O183" s="8"/>
      <c r="P183" s="8"/>
      <c r="Q183" s="8"/>
      <c r="R183" s="8"/>
      <c r="S183" s="8"/>
      <c r="T183" s="8"/>
      <c r="U183" s="8"/>
    </row>
    <row r="184" spans="1:21" ht="16">
      <c r="A184" s="4" t="s">
        <v>1186</v>
      </c>
      <c r="B184" s="4" t="s">
        <v>1187</v>
      </c>
      <c r="C184" s="4" t="s">
        <v>1188</v>
      </c>
      <c r="D184" s="4" t="s">
        <v>1189</v>
      </c>
      <c r="E184" s="4" t="s">
        <v>1190</v>
      </c>
      <c r="F184" s="4" t="s">
        <v>1191</v>
      </c>
      <c r="G184" s="5"/>
      <c r="H184" s="4" t="s">
        <v>1192</v>
      </c>
      <c r="I184" s="4" t="s">
        <v>18</v>
      </c>
      <c r="J184" s="6" t="str">
        <f t="shared" si="8"/>
        <v>https://www.ncbi.nlm.nih.gov/datasets/genome/GCA_011799875.1</v>
      </c>
      <c r="K184" s="7" t="s">
        <v>1193</v>
      </c>
      <c r="L184" s="4"/>
      <c r="M184" s="8"/>
      <c r="N184" s="8"/>
      <c r="O184" s="8"/>
      <c r="P184" s="8"/>
      <c r="Q184" s="8"/>
      <c r="R184" s="8"/>
      <c r="S184" s="8"/>
      <c r="T184" s="8"/>
      <c r="U184" s="8"/>
    </row>
    <row r="185" spans="1:21" ht="16">
      <c r="A185" s="11"/>
      <c r="B185" s="11" t="s">
        <v>1194</v>
      </c>
      <c r="C185" s="11" t="s">
        <v>1194</v>
      </c>
      <c r="D185" s="11" t="s">
        <v>1195</v>
      </c>
      <c r="E185" s="11" t="s">
        <v>1196</v>
      </c>
      <c r="F185" s="4"/>
      <c r="G185" s="5" t="s">
        <v>213</v>
      </c>
      <c r="H185" s="4" t="s">
        <v>237</v>
      </c>
      <c r="I185" s="4" t="s">
        <v>205</v>
      </c>
      <c r="J185" s="15" t="s">
        <v>1197</v>
      </c>
      <c r="K185" s="15" t="s">
        <v>1198</v>
      </c>
      <c r="L185" s="4"/>
      <c r="M185" s="8"/>
      <c r="N185" s="8"/>
      <c r="O185" s="8"/>
      <c r="P185" s="8"/>
      <c r="Q185" s="8"/>
      <c r="R185" s="8"/>
      <c r="S185" s="8"/>
      <c r="T185" s="8"/>
      <c r="U185" s="8"/>
    </row>
    <row r="186" spans="1:21" ht="16">
      <c r="A186" s="13"/>
      <c r="B186" s="16" t="s">
        <v>1199</v>
      </c>
      <c r="C186" s="17" t="s">
        <v>1200</v>
      </c>
      <c r="D186" s="11" t="s">
        <v>1201</v>
      </c>
      <c r="E186" s="11" t="s">
        <v>1201</v>
      </c>
      <c r="F186" s="4"/>
      <c r="G186" s="5" t="s">
        <v>1202</v>
      </c>
      <c r="H186" s="4" t="s">
        <v>237</v>
      </c>
      <c r="I186" s="4" t="s">
        <v>245</v>
      </c>
      <c r="J186" s="14" t="s">
        <v>1203</v>
      </c>
      <c r="K186" s="15" t="s">
        <v>1204</v>
      </c>
      <c r="L186" s="4"/>
      <c r="M186" s="8"/>
      <c r="N186" s="8"/>
      <c r="O186" s="8"/>
      <c r="P186" s="8"/>
      <c r="Q186" s="8"/>
      <c r="R186" s="8"/>
      <c r="S186" s="8"/>
      <c r="T186" s="8"/>
      <c r="U186" s="8"/>
    </row>
    <row r="187" spans="1:21" ht="16">
      <c r="A187" s="13"/>
      <c r="C187" s="21"/>
      <c r="D187" s="22" t="s">
        <v>1205</v>
      </c>
      <c r="E187" s="23" t="s">
        <v>1206</v>
      </c>
      <c r="F187" s="22" t="s">
        <v>1207</v>
      </c>
      <c r="G187" s="24"/>
      <c r="H187" s="25" t="s">
        <v>1208</v>
      </c>
      <c r="I187" s="4"/>
      <c r="J187" s="14" t="s">
        <v>1209</v>
      </c>
      <c r="K187" s="4" t="s">
        <v>364</v>
      </c>
      <c r="L187" s="4"/>
      <c r="M187" s="8"/>
      <c r="N187" s="8"/>
      <c r="O187" s="8"/>
      <c r="P187" s="8"/>
      <c r="Q187" s="8"/>
      <c r="R187" s="8"/>
      <c r="S187" s="8"/>
      <c r="T187" s="8"/>
      <c r="U187" s="8"/>
    </row>
    <row r="188" spans="1:21" ht="16">
      <c r="A188" s="4" t="s">
        <v>1210</v>
      </c>
      <c r="B188" s="4" t="s">
        <v>1211</v>
      </c>
      <c r="C188" s="4" t="s">
        <v>1212</v>
      </c>
      <c r="D188" s="4" t="s">
        <v>1213</v>
      </c>
      <c r="E188" s="4" t="s">
        <v>1214</v>
      </c>
      <c r="F188" s="4" t="s">
        <v>1215</v>
      </c>
      <c r="G188" s="5"/>
      <c r="H188" s="4" t="s">
        <v>1216</v>
      </c>
      <c r="I188" s="4" t="s">
        <v>18</v>
      </c>
      <c r="J188" s="6" t="str">
        <f t="shared" ref="J188:J212" si="9">"https://www.ncbi.nlm.nih.gov/datasets/genome/" &amp; A188</f>
        <v>https://www.ncbi.nlm.nih.gov/datasets/genome/GCA_018294505.1</v>
      </c>
      <c r="K188" s="7" t="s">
        <v>1217</v>
      </c>
      <c r="L188" s="4"/>
      <c r="M188" s="8"/>
      <c r="N188" s="8"/>
      <c r="O188" s="8"/>
      <c r="P188" s="8"/>
      <c r="Q188" s="8"/>
      <c r="R188" s="8"/>
      <c r="S188" s="8"/>
      <c r="T188" s="8"/>
      <c r="U188" s="8"/>
    </row>
    <row r="189" spans="1:21" ht="16">
      <c r="A189" s="4" t="s">
        <v>1218</v>
      </c>
      <c r="B189" s="4" t="s">
        <v>1219</v>
      </c>
      <c r="C189" s="4" t="s">
        <v>1220</v>
      </c>
      <c r="D189" s="4" t="s">
        <v>1221</v>
      </c>
      <c r="E189" s="4" t="s">
        <v>1214</v>
      </c>
      <c r="F189" s="4" t="s">
        <v>1222</v>
      </c>
      <c r="G189" s="5"/>
      <c r="H189" s="4" t="s">
        <v>31</v>
      </c>
      <c r="I189" s="4" t="s">
        <v>18</v>
      </c>
      <c r="J189" s="6" t="str">
        <f t="shared" si="9"/>
        <v>https://www.ncbi.nlm.nih.gov/datasets/genome/GCA_903993975.1</v>
      </c>
      <c r="K189" s="17" t="s">
        <v>1223</v>
      </c>
      <c r="L189" s="4"/>
      <c r="M189" s="8"/>
      <c r="N189" s="8"/>
      <c r="O189" s="8"/>
      <c r="P189" s="8"/>
      <c r="Q189" s="8"/>
      <c r="R189" s="8"/>
      <c r="S189" s="8"/>
      <c r="T189" s="8"/>
      <c r="U189" s="8"/>
    </row>
    <row r="190" spans="1:21" ht="16">
      <c r="A190" s="4" t="s">
        <v>1224</v>
      </c>
      <c r="B190" s="4" t="s">
        <v>1225</v>
      </c>
      <c r="C190" s="4" t="s">
        <v>1226</v>
      </c>
      <c r="D190" s="4" t="s">
        <v>1227</v>
      </c>
      <c r="E190" s="4" t="s">
        <v>1214</v>
      </c>
      <c r="F190" s="4" t="s">
        <v>1228</v>
      </c>
      <c r="G190" s="5"/>
      <c r="H190" s="4" t="s">
        <v>31</v>
      </c>
      <c r="I190" s="4" t="s">
        <v>18</v>
      </c>
      <c r="J190" s="6" t="str">
        <f t="shared" si="9"/>
        <v>https://www.ncbi.nlm.nih.gov/datasets/genome/GCA_903994155.1</v>
      </c>
      <c r="K190" s="17" t="s">
        <v>1223</v>
      </c>
      <c r="L190" s="4"/>
      <c r="M190" s="8"/>
      <c r="N190" s="8"/>
      <c r="O190" s="8"/>
      <c r="P190" s="8"/>
      <c r="Q190" s="8"/>
      <c r="R190" s="8"/>
      <c r="S190" s="8"/>
      <c r="T190" s="8"/>
      <c r="U190" s="8"/>
    </row>
    <row r="191" spans="1:21" ht="16">
      <c r="A191" s="4" t="s">
        <v>1229</v>
      </c>
      <c r="B191" s="4" t="s">
        <v>1230</v>
      </c>
      <c r="C191" s="4" t="s">
        <v>1231</v>
      </c>
      <c r="D191" s="4" t="s">
        <v>1232</v>
      </c>
      <c r="E191" s="4" t="s">
        <v>1214</v>
      </c>
      <c r="F191" s="4" t="s">
        <v>1233</v>
      </c>
      <c r="G191" s="5"/>
      <c r="H191" s="4" t="s">
        <v>31</v>
      </c>
      <c r="I191" s="4" t="s">
        <v>18</v>
      </c>
      <c r="J191" s="6" t="str">
        <f t="shared" si="9"/>
        <v>https://www.ncbi.nlm.nih.gov/datasets/genome/GCA_903993795.1</v>
      </c>
      <c r="K191" s="17" t="s">
        <v>1223</v>
      </c>
      <c r="L191" s="4"/>
      <c r="M191" s="8"/>
      <c r="N191" s="8"/>
      <c r="O191" s="8"/>
      <c r="P191" s="8"/>
      <c r="Q191" s="8"/>
      <c r="R191" s="8"/>
      <c r="S191" s="8"/>
      <c r="T191" s="8"/>
      <c r="U191" s="8"/>
    </row>
    <row r="192" spans="1:21" ht="16">
      <c r="A192" s="4" t="s">
        <v>1234</v>
      </c>
      <c r="B192" s="4" t="s">
        <v>1235</v>
      </c>
      <c r="C192" s="4" t="s">
        <v>1236</v>
      </c>
      <c r="D192" s="4" t="s">
        <v>1237</v>
      </c>
      <c r="E192" s="4" t="s">
        <v>1214</v>
      </c>
      <c r="F192" s="4"/>
      <c r="G192" s="5"/>
      <c r="H192" s="4" t="s">
        <v>31</v>
      </c>
      <c r="I192" s="4" t="s">
        <v>18</v>
      </c>
      <c r="J192" s="6" t="str">
        <f t="shared" si="9"/>
        <v>https://www.ncbi.nlm.nih.gov/datasets/genome/GCA_902810655.1</v>
      </c>
      <c r="K192" s="17" t="s">
        <v>1223</v>
      </c>
      <c r="L192" s="4"/>
      <c r="M192" s="8"/>
      <c r="N192" s="8"/>
      <c r="O192" s="8"/>
      <c r="P192" s="8"/>
      <c r="Q192" s="8"/>
      <c r="R192" s="8"/>
      <c r="S192" s="8"/>
      <c r="T192" s="8"/>
      <c r="U192" s="8"/>
    </row>
    <row r="193" spans="1:21" ht="16">
      <c r="A193" s="4" t="s">
        <v>1238</v>
      </c>
      <c r="B193" s="4" t="s">
        <v>1239</v>
      </c>
      <c r="C193" s="4" t="s">
        <v>1240</v>
      </c>
      <c r="D193" s="4" t="s">
        <v>1241</v>
      </c>
      <c r="E193" s="4" t="s">
        <v>1242</v>
      </c>
      <c r="F193" s="4" t="s">
        <v>1243</v>
      </c>
      <c r="G193" s="5"/>
      <c r="H193" s="4" t="s">
        <v>197</v>
      </c>
      <c r="I193" s="4" t="s">
        <v>18</v>
      </c>
      <c r="J193" s="6" t="str">
        <f t="shared" si="9"/>
        <v>https://www.ncbi.nlm.nih.gov/datasets/genome/GCA_002162155.3</v>
      </c>
      <c r="K193" s="7" t="s">
        <v>1244</v>
      </c>
      <c r="L193" s="4"/>
      <c r="M193" s="8"/>
      <c r="N193" s="8"/>
      <c r="O193" s="8"/>
      <c r="P193" s="8"/>
      <c r="Q193" s="8"/>
      <c r="R193" s="8"/>
      <c r="S193" s="8"/>
      <c r="T193" s="8"/>
      <c r="U193" s="8"/>
    </row>
    <row r="194" spans="1:21" ht="16">
      <c r="A194" s="4" t="s">
        <v>1245</v>
      </c>
      <c r="B194" s="4" t="s">
        <v>1246</v>
      </c>
      <c r="C194" s="4" t="s">
        <v>1247</v>
      </c>
      <c r="D194" s="4" t="s">
        <v>1248</v>
      </c>
      <c r="E194" s="4" t="s">
        <v>1249</v>
      </c>
      <c r="F194" s="4" t="s">
        <v>1250</v>
      </c>
      <c r="G194" s="5"/>
      <c r="H194" s="4" t="s">
        <v>79</v>
      </c>
      <c r="I194" s="4" t="s">
        <v>18</v>
      </c>
      <c r="J194" s="6" t="str">
        <f t="shared" si="9"/>
        <v>https://www.ncbi.nlm.nih.gov/datasets/genome/GCA_034509565.1</v>
      </c>
      <c r="K194" s="7" t="s">
        <v>1251</v>
      </c>
      <c r="L194" s="4"/>
      <c r="M194" s="8"/>
      <c r="N194" s="8"/>
      <c r="O194" s="8"/>
      <c r="P194" s="8"/>
      <c r="Q194" s="8"/>
      <c r="R194" s="8"/>
      <c r="S194" s="8"/>
      <c r="T194" s="8"/>
      <c r="U194" s="8"/>
    </row>
    <row r="195" spans="1:21" ht="16">
      <c r="A195" s="4" t="s">
        <v>1252</v>
      </c>
      <c r="B195" s="4" t="s">
        <v>1253</v>
      </c>
      <c r="C195" s="4" t="s">
        <v>1254</v>
      </c>
      <c r="D195" s="4" t="s">
        <v>1255</v>
      </c>
      <c r="E195" s="4" t="s">
        <v>1256</v>
      </c>
      <c r="F195" s="4" t="s">
        <v>1257</v>
      </c>
      <c r="G195" s="5"/>
      <c r="H195" s="4" t="s">
        <v>31</v>
      </c>
      <c r="I195" s="4" t="s">
        <v>18</v>
      </c>
      <c r="J195" s="6" t="str">
        <f t="shared" si="9"/>
        <v>https://www.ncbi.nlm.nih.gov/datasets/genome/GCA_900231445.1</v>
      </c>
      <c r="K195" s="17" t="s">
        <v>1258</v>
      </c>
      <c r="L195" s="4"/>
      <c r="M195" s="8"/>
      <c r="N195" s="8"/>
      <c r="O195" s="8"/>
      <c r="P195" s="8"/>
      <c r="Q195" s="8"/>
      <c r="R195" s="8"/>
      <c r="S195" s="8"/>
      <c r="T195" s="8"/>
      <c r="U195" s="8"/>
    </row>
    <row r="196" spans="1:21" ht="16">
      <c r="A196" s="4" t="s">
        <v>1259</v>
      </c>
      <c r="B196" s="4" t="s">
        <v>1260</v>
      </c>
      <c r="C196" s="4" t="s">
        <v>1261</v>
      </c>
      <c r="D196" s="4" t="s">
        <v>1262</v>
      </c>
      <c r="E196" s="4" t="s">
        <v>1263</v>
      </c>
      <c r="F196" s="4" t="s">
        <v>1264</v>
      </c>
      <c r="G196" s="5"/>
      <c r="H196" s="4" t="s">
        <v>87</v>
      </c>
      <c r="I196" s="4" t="s">
        <v>18</v>
      </c>
      <c r="J196" s="6" t="str">
        <f t="shared" si="9"/>
        <v>https://www.ncbi.nlm.nih.gov/datasets/genome/GCA_003073215.2</v>
      </c>
      <c r="K196" s="7" t="s">
        <v>1265</v>
      </c>
      <c r="L196" s="4"/>
      <c r="M196" s="8"/>
      <c r="N196" s="8"/>
      <c r="O196" s="8"/>
      <c r="P196" s="8"/>
      <c r="Q196" s="8"/>
      <c r="R196" s="8"/>
      <c r="S196" s="8"/>
      <c r="T196" s="8"/>
      <c r="U196" s="8"/>
    </row>
    <row r="197" spans="1:21" ht="16">
      <c r="A197" s="4" t="s">
        <v>1266</v>
      </c>
      <c r="B197" s="4" t="s">
        <v>1267</v>
      </c>
      <c r="C197" s="4" t="s">
        <v>1268</v>
      </c>
      <c r="D197" s="4" t="s">
        <v>1269</v>
      </c>
      <c r="E197" s="4" t="s">
        <v>1270</v>
      </c>
      <c r="F197" s="4" t="s">
        <v>1271</v>
      </c>
      <c r="G197" s="5"/>
      <c r="H197" s="4" t="s">
        <v>1272</v>
      </c>
      <c r="I197" s="4" t="s">
        <v>18</v>
      </c>
      <c r="J197" s="6" t="str">
        <f t="shared" si="9"/>
        <v>https://www.ncbi.nlm.nih.gov/datasets/genome/GCA_036927565.1</v>
      </c>
      <c r="K197" s="4" t="s">
        <v>364</v>
      </c>
      <c r="L197" s="4"/>
      <c r="M197" s="8"/>
      <c r="N197" s="8"/>
      <c r="O197" s="8"/>
      <c r="P197" s="8"/>
      <c r="Q197" s="8"/>
      <c r="R197" s="8"/>
      <c r="S197" s="8"/>
      <c r="T197" s="8"/>
      <c r="U197" s="8"/>
    </row>
    <row r="198" spans="1:21" ht="16">
      <c r="A198" s="4" t="s">
        <v>1273</v>
      </c>
      <c r="B198" s="4" t="s">
        <v>1274</v>
      </c>
      <c r="C198" s="4" t="s">
        <v>1275</v>
      </c>
      <c r="D198" s="4" t="s">
        <v>1276</v>
      </c>
      <c r="E198" s="4" t="s">
        <v>1270</v>
      </c>
      <c r="F198" s="4" t="s">
        <v>1271</v>
      </c>
      <c r="G198" s="5"/>
      <c r="H198" s="4" t="s">
        <v>1272</v>
      </c>
      <c r="I198" s="4" t="s">
        <v>18</v>
      </c>
      <c r="J198" s="6" t="str">
        <f t="shared" si="9"/>
        <v>https://www.ncbi.nlm.nih.gov/datasets/genome/GCA_036927555.1</v>
      </c>
      <c r="K198" s="4" t="s">
        <v>364</v>
      </c>
      <c r="L198" s="4"/>
      <c r="M198" s="8"/>
      <c r="N198" s="8"/>
      <c r="O198" s="8"/>
      <c r="P198" s="8"/>
      <c r="Q198" s="8"/>
      <c r="R198" s="8"/>
      <c r="S198" s="8"/>
      <c r="T198" s="8"/>
      <c r="U198" s="8"/>
    </row>
    <row r="199" spans="1:21" ht="16">
      <c r="A199" s="4" t="s">
        <v>1277</v>
      </c>
      <c r="B199" s="4" t="s">
        <v>1278</v>
      </c>
      <c r="C199" s="4" t="s">
        <v>1279</v>
      </c>
      <c r="D199" s="4" t="s">
        <v>1280</v>
      </c>
      <c r="E199" s="4" t="s">
        <v>1281</v>
      </c>
      <c r="F199" s="4" t="s">
        <v>1282</v>
      </c>
      <c r="G199" s="5"/>
      <c r="H199" s="4" t="s">
        <v>643</v>
      </c>
      <c r="I199" s="4" t="s">
        <v>18</v>
      </c>
      <c r="J199" s="6" t="str">
        <f t="shared" si="9"/>
        <v>https://www.ncbi.nlm.nih.gov/datasets/genome/GCA_015476505.1</v>
      </c>
      <c r="K199" s="15" t="s">
        <v>1283</v>
      </c>
      <c r="L199" s="4"/>
      <c r="M199" s="8"/>
      <c r="N199" s="8"/>
      <c r="O199" s="8"/>
      <c r="P199" s="8"/>
      <c r="Q199" s="8"/>
      <c r="R199" s="8"/>
      <c r="S199" s="8"/>
      <c r="T199" s="8"/>
      <c r="U199" s="8"/>
    </row>
    <row r="200" spans="1:21" ht="16">
      <c r="A200" s="4" t="s">
        <v>1284</v>
      </c>
      <c r="B200" s="4" t="s">
        <v>1285</v>
      </c>
      <c r="C200" s="4" t="s">
        <v>1286</v>
      </c>
      <c r="D200" s="4" t="s">
        <v>1287</v>
      </c>
      <c r="E200" s="4" t="s">
        <v>1281</v>
      </c>
      <c r="F200" s="4" t="s">
        <v>1288</v>
      </c>
      <c r="G200" s="5"/>
      <c r="H200" s="4" t="s">
        <v>1055</v>
      </c>
      <c r="I200" s="4" t="s">
        <v>18</v>
      </c>
      <c r="J200" s="6" t="str">
        <f t="shared" si="9"/>
        <v>https://www.ncbi.nlm.nih.gov/datasets/genome/GCA_003016355.1</v>
      </c>
      <c r="K200" s="7" t="s">
        <v>1289</v>
      </c>
      <c r="L200" s="4"/>
      <c r="M200" s="8"/>
      <c r="N200" s="8"/>
      <c r="O200" s="8"/>
      <c r="P200" s="8"/>
      <c r="Q200" s="8"/>
      <c r="R200" s="8"/>
      <c r="S200" s="8"/>
      <c r="T200" s="8"/>
      <c r="U200" s="8"/>
    </row>
    <row r="201" spans="1:21" ht="16">
      <c r="A201" s="4" t="s">
        <v>1290</v>
      </c>
      <c r="B201" s="4" t="s">
        <v>1291</v>
      </c>
      <c r="C201" s="4" t="s">
        <v>1292</v>
      </c>
      <c r="D201" s="4" t="s">
        <v>1293</v>
      </c>
      <c r="E201" s="4" t="s">
        <v>1294</v>
      </c>
      <c r="F201" s="4" t="s">
        <v>1295</v>
      </c>
      <c r="G201" s="5"/>
      <c r="H201" s="4" t="s">
        <v>71</v>
      </c>
      <c r="I201" s="4" t="s">
        <v>18</v>
      </c>
      <c r="J201" s="6" t="str">
        <f t="shared" si="9"/>
        <v>https://www.ncbi.nlm.nih.gov/datasets/genome/GCA_029449295.1</v>
      </c>
      <c r="K201" s="7" t="s">
        <v>1296</v>
      </c>
      <c r="L201" s="4"/>
      <c r="M201" s="8"/>
      <c r="N201" s="8"/>
      <c r="O201" s="8"/>
      <c r="P201" s="8"/>
      <c r="Q201" s="8"/>
      <c r="R201" s="8"/>
      <c r="S201" s="8"/>
      <c r="T201" s="8"/>
      <c r="U201" s="8"/>
    </row>
    <row r="202" spans="1:21" ht="16">
      <c r="A202" s="4" t="s">
        <v>1297</v>
      </c>
      <c r="B202" s="4" t="s">
        <v>1298</v>
      </c>
      <c r="C202" s="4" t="s">
        <v>1299</v>
      </c>
      <c r="D202" s="4" t="s">
        <v>1300</v>
      </c>
      <c r="E202" s="4" t="s">
        <v>1301</v>
      </c>
      <c r="F202" s="4" t="s">
        <v>1302</v>
      </c>
      <c r="G202" s="5"/>
      <c r="H202" s="4" t="s">
        <v>31</v>
      </c>
      <c r="I202" s="4" t="s">
        <v>18</v>
      </c>
      <c r="J202" s="6" t="str">
        <f t="shared" si="9"/>
        <v>https://www.ncbi.nlm.nih.gov/datasets/genome/GCA_902167145.1</v>
      </c>
      <c r="K202" s="26" t="s">
        <v>1303</v>
      </c>
      <c r="L202" s="4"/>
      <c r="M202" s="8"/>
      <c r="N202" s="8"/>
      <c r="O202" s="8"/>
      <c r="P202" s="8"/>
      <c r="Q202" s="8"/>
      <c r="R202" s="8"/>
      <c r="S202" s="8"/>
      <c r="T202" s="8"/>
      <c r="U202" s="8"/>
    </row>
    <row r="203" spans="1:21" ht="16">
      <c r="A203" s="4" t="s">
        <v>1304</v>
      </c>
      <c r="B203" s="4" t="s">
        <v>1305</v>
      </c>
      <c r="C203" s="4" t="s">
        <v>1306</v>
      </c>
      <c r="D203" s="4" t="s">
        <v>1307</v>
      </c>
      <c r="E203" s="4" t="s">
        <v>1301</v>
      </c>
      <c r="F203" s="4" t="s">
        <v>1308</v>
      </c>
      <c r="G203" s="5"/>
      <c r="H203" s="4" t="s">
        <v>1309</v>
      </c>
      <c r="I203" s="4" t="s">
        <v>18</v>
      </c>
      <c r="J203" s="6" t="str">
        <f t="shared" si="9"/>
        <v>https://www.ncbi.nlm.nih.gov/datasets/genome/GCA_022117705.1</v>
      </c>
      <c r="K203" s="17" t="s">
        <v>1310</v>
      </c>
      <c r="L203" s="4"/>
      <c r="M203" s="8"/>
      <c r="N203" s="8"/>
      <c r="O203" s="8"/>
      <c r="P203" s="8"/>
      <c r="Q203" s="8"/>
      <c r="R203" s="8"/>
      <c r="S203" s="8"/>
      <c r="T203" s="8"/>
      <c r="U203" s="8"/>
    </row>
    <row r="204" spans="1:21" ht="16">
      <c r="A204" s="4" t="s">
        <v>1311</v>
      </c>
      <c r="B204" s="4" t="s">
        <v>1312</v>
      </c>
      <c r="C204" s="4" t="s">
        <v>1313</v>
      </c>
      <c r="D204" s="4" t="s">
        <v>1314</v>
      </c>
      <c r="E204" s="4" t="s">
        <v>1301</v>
      </c>
      <c r="F204" s="4" t="s">
        <v>1315</v>
      </c>
      <c r="G204" s="5"/>
      <c r="H204" s="4" t="s">
        <v>31</v>
      </c>
      <c r="I204" s="4" t="s">
        <v>18</v>
      </c>
      <c r="J204" s="6" t="str">
        <f t="shared" si="9"/>
        <v>https://www.ncbi.nlm.nih.gov/datasets/genome/GCA_902167005.1</v>
      </c>
      <c r="K204" s="26" t="s">
        <v>1303</v>
      </c>
      <c r="L204" s="4"/>
      <c r="M204" s="8"/>
      <c r="N204" s="8"/>
      <c r="O204" s="8"/>
      <c r="P204" s="8"/>
      <c r="Q204" s="8"/>
      <c r="R204" s="8"/>
      <c r="S204" s="8"/>
      <c r="T204" s="8"/>
      <c r="U204" s="8"/>
    </row>
    <row r="205" spans="1:21" ht="16">
      <c r="A205" s="4" t="s">
        <v>1316</v>
      </c>
      <c r="B205" s="4" t="s">
        <v>1317</v>
      </c>
      <c r="C205" s="4" t="s">
        <v>1318</v>
      </c>
      <c r="D205" s="4" t="s">
        <v>1319</v>
      </c>
      <c r="E205" s="4" t="s">
        <v>1301</v>
      </c>
      <c r="F205" s="4" t="s">
        <v>1320</v>
      </c>
      <c r="G205" s="5"/>
      <c r="H205" s="4" t="s">
        <v>31</v>
      </c>
      <c r="I205" s="4" t="s">
        <v>18</v>
      </c>
      <c r="J205" s="6" t="str">
        <f t="shared" si="9"/>
        <v>https://www.ncbi.nlm.nih.gov/datasets/genome/GCA_902166965.1</v>
      </c>
      <c r="K205" s="26" t="s">
        <v>1303</v>
      </c>
      <c r="L205" s="4"/>
      <c r="M205" s="8"/>
      <c r="N205" s="8"/>
      <c r="O205" s="8"/>
      <c r="P205" s="8"/>
      <c r="Q205" s="8"/>
      <c r="R205" s="8"/>
      <c r="S205" s="8"/>
      <c r="T205" s="8"/>
      <c r="U205" s="8"/>
    </row>
    <row r="206" spans="1:21" ht="16">
      <c r="A206" s="4" t="s">
        <v>1321</v>
      </c>
      <c r="B206" s="4" t="s">
        <v>1322</v>
      </c>
      <c r="C206" s="4" t="s">
        <v>1323</v>
      </c>
      <c r="D206" s="4" t="s">
        <v>1324</v>
      </c>
      <c r="E206" s="4" t="s">
        <v>1301</v>
      </c>
      <c r="F206" s="4" t="s">
        <v>1325</v>
      </c>
      <c r="G206" s="5"/>
      <c r="H206" s="4" t="s">
        <v>31</v>
      </c>
      <c r="I206" s="4" t="s">
        <v>18</v>
      </c>
      <c r="J206" s="6" t="str">
        <f t="shared" si="9"/>
        <v>https://www.ncbi.nlm.nih.gov/datasets/genome/GCA_902167095.1</v>
      </c>
      <c r="K206" s="26" t="s">
        <v>1303</v>
      </c>
      <c r="L206" s="4"/>
      <c r="M206" s="8"/>
      <c r="N206" s="8"/>
      <c r="O206" s="8"/>
      <c r="P206" s="8"/>
      <c r="Q206" s="8"/>
      <c r="R206" s="8"/>
      <c r="S206" s="8"/>
      <c r="T206" s="8"/>
      <c r="U206" s="8"/>
    </row>
    <row r="207" spans="1:21" ht="34">
      <c r="A207" s="27" t="s">
        <v>1326</v>
      </c>
      <c r="B207" s="11" t="s">
        <v>1327</v>
      </c>
      <c r="C207" s="11" t="s">
        <v>1328</v>
      </c>
      <c r="D207" s="11" t="s">
        <v>1329</v>
      </c>
      <c r="E207" s="11" t="s">
        <v>1330</v>
      </c>
      <c r="F207" s="17" t="s">
        <v>1331</v>
      </c>
      <c r="G207" s="28"/>
      <c r="H207" s="19" t="s">
        <v>197</v>
      </c>
      <c r="I207" s="4" t="s">
        <v>18</v>
      </c>
      <c r="J207" s="6" t="str">
        <f t="shared" si="9"/>
        <v>https://www.ncbi.nlm.nih.gov/datasets/genome/GCA_002813485.1</v>
      </c>
      <c r="K207" s="7" t="s">
        <v>1332</v>
      </c>
      <c r="L207" s="4"/>
      <c r="M207" s="8"/>
      <c r="N207" s="8"/>
      <c r="O207" s="8"/>
      <c r="P207" s="8"/>
      <c r="Q207" s="8"/>
      <c r="R207" s="8"/>
      <c r="S207" s="8"/>
      <c r="T207" s="8"/>
      <c r="U207" s="8"/>
    </row>
    <row r="208" spans="1:21" ht="16">
      <c r="A208" s="4" t="s">
        <v>1333</v>
      </c>
      <c r="B208" s="4" t="s">
        <v>1334</v>
      </c>
      <c r="C208" s="4" t="s">
        <v>1335</v>
      </c>
      <c r="D208" s="4" t="s">
        <v>1336</v>
      </c>
      <c r="E208" s="4" t="s">
        <v>1337</v>
      </c>
      <c r="F208" s="4"/>
      <c r="G208" s="5"/>
      <c r="H208" s="4" t="s">
        <v>197</v>
      </c>
      <c r="I208" s="4" t="s">
        <v>18</v>
      </c>
      <c r="J208" s="6" t="str">
        <f t="shared" si="9"/>
        <v>https://www.ncbi.nlm.nih.gov/datasets/genome/GCA_000418225.1</v>
      </c>
      <c r="K208" s="15" t="s">
        <v>1338</v>
      </c>
      <c r="L208" s="4"/>
      <c r="M208" s="8"/>
      <c r="N208" s="8"/>
      <c r="O208" s="8"/>
      <c r="P208" s="8"/>
      <c r="Q208" s="8"/>
      <c r="R208" s="8"/>
      <c r="S208" s="8"/>
      <c r="T208" s="8"/>
      <c r="U208" s="8"/>
    </row>
    <row r="209" spans="1:21" ht="16">
      <c r="A209" s="4" t="s">
        <v>1339</v>
      </c>
      <c r="B209" s="4" t="s">
        <v>1340</v>
      </c>
      <c r="C209" s="4" t="s">
        <v>1341</v>
      </c>
      <c r="D209" s="4" t="s">
        <v>1342</v>
      </c>
      <c r="E209" s="4" t="s">
        <v>1343</v>
      </c>
      <c r="F209" s="4" t="s">
        <v>1344</v>
      </c>
      <c r="G209" s="5"/>
      <c r="H209" s="4" t="s">
        <v>71</v>
      </c>
      <c r="I209" s="4" t="s">
        <v>18</v>
      </c>
      <c r="J209" s="6" t="str">
        <f t="shared" si="9"/>
        <v>https://www.ncbi.nlm.nih.gov/datasets/genome/GCA_019279435.1</v>
      </c>
      <c r="K209" s="15" t="s">
        <v>1345</v>
      </c>
      <c r="L209" s="4"/>
      <c r="M209" s="8"/>
      <c r="N209" s="8"/>
      <c r="O209" s="8"/>
      <c r="P209" s="8"/>
      <c r="Q209" s="8"/>
      <c r="R209" s="8"/>
      <c r="S209" s="8"/>
      <c r="T209" s="8"/>
      <c r="U209" s="8"/>
    </row>
    <row r="210" spans="1:21" ht="16">
      <c r="A210" s="4" t="s">
        <v>1346</v>
      </c>
      <c r="B210" s="4" t="s">
        <v>1347</v>
      </c>
      <c r="C210" s="4" t="s">
        <v>1348</v>
      </c>
      <c r="D210" s="4" t="s">
        <v>1349</v>
      </c>
      <c r="E210" s="4" t="s">
        <v>1350</v>
      </c>
      <c r="F210" s="4" t="s">
        <v>1351</v>
      </c>
      <c r="G210" s="5"/>
      <c r="H210" s="4" t="s">
        <v>1352</v>
      </c>
      <c r="I210" s="4" t="s">
        <v>18</v>
      </c>
      <c r="J210" s="6" t="str">
        <f t="shared" si="9"/>
        <v>https://www.ncbi.nlm.nih.gov/datasets/genome/GCA_001602275.1</v>
      </c>
      <c r="K210" s="7" t="s">
        <v>1353</v>
      </c>
      <c r="L210" s="4"/>
      <c r="M210" s="8"/>
      <c r="N210" s="8"/>
      <c r="O210" s="8"/>
      <c r="P210" s="8"/>
      <c r="Q210" s="8"/>
      <c r="R210" s="8"/>
      <c r="S210" s="8"/>
      <c r="T210" s="8"/>
      <c r="U210" s="8"/>
    </row>
    <row r="211" spans="1:21" ht="16">
      <c r="A211" s="4" t="s">
        <v>1354</v>
      </c>
      <c r="B211" s="4" t="s">
        <v>1355</v>
      </c>
      <c r="C211" s="4" t="s">
        <v>1356</v>
      </c>
      <c r="D211" s="4" t="s">
        <v>1357</v>
      </c>
      <c r="E211" s="4" t="s">
        <v>1358</v>
      </c>
      <c r="F211" s="4" t="s">
        <v>1359</v>
      </c>
      <c r="G211" s="5"/>
      <c r="H211" s="4" t="s">
        <v>1352</v>
      </c>
      <c r="I211" s="4" t="s">
        <v>18</v>
      </c>
      <c r="J211" s="6" t="str">
        <f t="shared" si="9"/>
        <v>https://www.ncbi.nlm.nih.gov/datasets/genome/GCA_001602295.1</v>
      </c>
      <c r="K211" s="7" t="s">
        <v>1360</v>
      </c>
      <c r="L211" s="4"/>
      <c r="M211" s="8"/>
      <c r="N211" s="8"/>
      <c r="O211" s="8"/>
      <c r="P211" s="8"/>
      <c r="Q211" s="8"/>
      <c r="R211" s="8"/>
      <c r="S211" s="8"/>
      <c r="T211" s="8"/>
      <c r="U211" s="8"/>
    </row>
    <row r="212" spans="1:21" ht="16">
      <c r="A212" s="4" t="s">
        <v>1361</v>
      </c>
      <c r="B212" s="4" t="s">
        <v>1362</v>
      </c>
      <c r="C212" s="4" t="s">
        <v>1363</v>
      </c>
      <c r="D212" s="4" t="s">
        <v>1364</v>
      </c>
      <c r="E212" s="4" t="s">
        <v>1365</v>
      </c>
      <c r="F212" s="4" t="s">
        <v>1366</v>
      </c>
      <c r="G212" s="5"/>
      <c r="H212" s="4" t="s">
        <v>1352</v>
      </c>
      <c r="I212" s="4" t="s">
        <v>18</v>
      </c>
      <c r="J212" s="6" t="str">
        <f t="shared" si="9"/>
        <v>https://www.ncbi.nlm.nih.gov/datasets/genome/GCA_001602315.1</v>
      </c>
      <c r="K212" s="7" t="s">
        <v>1367</v>
      </c>
      <c r="L212" s="4"/>
      <c r="M212" s="8"/>
      <c r="N212" s="8"/>
      <c r="O212" s="8"/>
      <c r="P212" s="8"/>
      <c r="Q212" s="8"/>
      <c r="R212" s="8"/>
      <c r="S212" s="8"/>
      <c r="T212" s="8"/>
      <c r="U212" s="8"/>
    </row>
    <row r="213" spans="1:21" ht="13">
      <c r="G213" s="29"/>
    </row>
    <row r="214" spans="1:21" ht="13">
      <c r="G214" s="29"/>
    </row>
    <row r="215" spans="1:21" ht="13">
      <c r="G215" s="29"/>
    </row>
    <row r="216" spans="1:21" ht="13">
      <c r="G216" s="29"/>
    </row>
    <row r="217" spans="1:21" ht="13">
      <c r="G217" s="29"/>
    </row>
    <row r="218" spans="1:21" ht="13">
      <c r="G218" s="29"/>
    </row>
    <row r="219" spans="1:21" ht="13">
      <c r="G219" s="29"/>
    </row>
    <row r="220" spans="1:21" ht="13">
      <c r="G220" s="29"/>
    </row>
    <row r="221" spans="1:21" ht="13">
      <c r="G221" s="29"/>
    </row>
    <row r="222" spans="1:21" ht="13">
      <c r="G222" s="29"/>
    </row>
    <row r="223" spans="1:21" ht="13">
      <c r="G223" s="29"/>
    </row>
    <row r="224" spans="1:21" ht="13">
      <c r="G224" s="29"/>
    </row>
    <row r="225" spans="7:7" ht="13">
      <c r="G225" s="29"/>
    </row>
    <row r="226" spans="7:7" ht="13">
      <c r="G226" s="29"/>
    </row>
    <row r="227" spans="7:7" ht="13">
      <c r="G227" s="29"/>
    </row>
    <row r="228" spans="7:7" ht="13">
      <c r="G228" s="29"/>
    </row>
    <row r="229" spans="7:7" ht="13">
      <c r="G229" s="29"/>
    </row>
    <row r="230" spans="7:7" ht="13">
      <c r="G230" s="29"/>
    </row>
    <row r="231" spans="7:7" ht="13">
      <c r="G231" s="29"/>
    </row>
    <row r="232" spans="7:7" ht="13">
      <c r="G232" s="29"/>
    </row>
    <row r="233" spans="7:7" ht="13">
      <c r="G233" s="29"/>
    </row>
    <row r="234" spans="7:7" ht="13">
      <c r="G234" s="29"/>
    </row>
    <row r="235" spans="7:7" ht="13">
      <c r="G235" s="29"/>
    </row>
    <row r="236" spans="7:7" ht="13">
      <c r="G236" s="29"/>
    </row>
    <row r="237" spans="7:7" ht="13">
      <c r="G237" s="29"/>
    </row>
    <row r="238" spans="7:7" ht="13">
      <c r="G238" s="29"/>
    </row>
    <row r="239" spans="7:7" ht="13">
      <c r="G239" s="29"/>
    </row>
    <row r="240" spans="7:7" ht="13">
      <c r="G240" s="29"/>
    </row>
    <row r="241" spans="7:7" ht="13">
      <c r="G241" s="29"/>
    </row>
    <row r="242" spans="7:7" ht="13">
      <c r="G242" s="29"/>
    </row>
    <row r="243" spans="7:7" ht="13">
      <c r="G243" s="29"/>
    </row>
    <row r="244" spans="7:7" ht="13">
      <c r="G244" s="29"/>
    </row>
    <row r="245" spans="7:7" ht="13">
      <c r="G245" s="29"/>
    </row>
    <row r="246" spans="7:7" ht="13">
      <c r="G246" s="29"/>
    </row>
    <row r="247" spans="7:7" ht="13">
      <c r="G247" s="29"/>
    </row>
    <row r="248" spans="7:7" ht="13">
      <c r="G248" s="29"/>
    </row>
    <row r="249" spans="7:7" ht="13">
      <c r="G249" s="29"/>
    </row>
    <row r="250" spans="7:7" ht="13">
      <c r="G250" s="29"/>
    </row>
    <row r="251" spans="7:7" ht="13">
      <c r="G251" s="29"/>
    </row>
    <row r="252" spans="7:7" ht="13">
      <c r="G252" s="29"/>
    </row>
    <row r="253" spans="7:7" ht="13">
      <c r="G253" s="29"/>
    </row>
    <row r="254" spans="7:7" ht="13">
      <c r="G254" s="29"/>
    </row>
    <row r="255" spans="7:7" ht="13">
      <c r="G255" s="29"/>
    </row>
    <row r="256" spans="7:7" ht="13">
      <c r="G256" s="29"/>
    </row>
    <row r="257" spans="7:7" ht="13">
      <c r="G257" s="29"/>
    </row>
    <row r="258" spans="7:7" ht="13">
      <c r="G258" s="29"/>
    </row>
    <row r="259" spans="7:7" ht="13">
      <c r="G259" s="29"/>
    </row>
    <row r="260" spans="7:7" ht="13">
      <c r="G260" s="29"/>
    </row>
    <row r="261" spans="7:7" ht="13">
      <c r="G261" s="29"/>
    </row>
    <row r="262" spans="7:7" ht="13">
      <c r="G262" s="29"/>
    </row>
    <row r="263" spans="7:7" ht="13">
      <c r="G263" s="29"/>
    </row>
    <row r="264" spans="7:7" ht="13">
      <c r="G264" s="29"/>
    </row>
    <row r="265" spans="7:7" ht="13">
      <c r="G265" s="29"/>
    </row>
    <row r="266" spans="7:7" ht="13">
      <c r="G266" s="29"/>
    </row>
    <row r="267" spans="7:7" ht="13">
      <c r="G267" s="29"/>
    </row>
    <row r="268" spans="7:7" ht="13">
      <c r="G268" s="29"/>
    </row>
    <row r="269" spans="7:7" ht="13">
      <c r="G269" s="29"/>
    </row>
    <row r="270" spans="7:7" ht="13">
      <c r="G270" s="29"/>
    </row>
    <row r="271" spans="7:7" ht="13">
      <c r="G271" s="29"/>
    </row>
    <row r="272" spans="7:7" ht="13">
      <c r="G272" s="29"/>
    </row>
    <row r="273" spans="7:7" ht="13">
      <c r="G273" s="29"/>
    </row>
    <row r="274" spans="7:7" ht="13">
      <c r="G274" s="29"/>
    </row>
    <row r="275" spans="7:7" ht="13">
      <c r="G275" s="29"/>
    </row>
    <row r="276" spans="7:7" ht="13">
      <c r="G276" s="29"/>
    </row>
    <row r="277" spans="7:7" ht="13">
      <c r="G277" s="29"/>
    </row>
    <row r="278" spans="7:7" ht="13">
      <c r="G278" s="29"/>
    </row>
    <row r="279" spans="7:7" ht="13">
      <c r="G279" s="29"/>
    </row>
    <row r="280" spans="7:7" ht="13">
      <c r="G280" s="29"/>
    </row>
    <row r="281" spans="7:7" ht="13">
      <c r="G281" s="29"/>
    </row>
    <row r="282" spans="7:7" ht="13">
      <c r="G282" s="29"/>
    </row>
    <row r="283" spans="7:7" ht="13">
      <c r="G283" s="29"/>
    </row>
    <row r="284" spans="7:7" ht="13">
      <c r="G284" s="29"/>
    </row>
    <row r="285" spans="7:7" ht="13">
      <c r="G285" s="29"/>
    </row>
    <row r="286" spans="7:7" ht="13">
      <c r="G286" s="29"/>
    </row>
    <row r="287" spans="7:7" ht="13">
      <c r="G287" s="29"/>
    </row>
    <row r="288" spans="7:7" ht="13">
      <c r="G288" s="29"/>
    </row>
    <row r="289" spans="7:7" ht="13">
      <c r="G289" s="29"/>
    </row>
    <row r="290" spans="7:7" ht="13">
      <c r="G290" s="29"/>
    </row>
    <row r="291" spans="7:7" ht="13">
      <c r="G291" s="29"/>
    </row>
    <row r="292" spans="7:7" ht="13">
      <c r="G292" s="29"/>
    </row>
    <row r="293" spans="7:7" ht="13">
      <c r="G293" s="29"/>
    </row>
    <row r="294" spans="7:7" ht="13">
      <c r="G294" s="29"/>
    </row>
    <row r="295" spans="7:7" ht="13">
      <c r="G295" s="29"/>
    </row>
    <row r="296" spans="7:7" ht="13">
      <c r="G296" s="29"/>
    </row>
    <row r="297" spans="7:7" ht="13">
      <c r="G297" s="29"/>
    </row>
    <row r="298" spans="7:7" ht="13">
      <c r="G298" s="29"/>
    </row>
    <row r="299" spans="7:7" ht="13">
      <c r="G299" s="29"/>
    </row>
    <row r="300" spans="7:7" ht="13">
      <c r="G300" s="29"/>
    </row>
    <row r="301" spans="7:7" ht="13">
      <c r="G301" s="29"/>
    </row>
    <row r="302" spans="7:7" ht="13">
      <c r="G302" s="29"/>
    </row>
    <row r="303" spans="7:7" ht="13">
      <c r="G303" s="29"/>
    </row>
    <row r="304" spans="7:7" ht="13">
      <c r="G304" s="29"/>
    </row>
    <row r="305" spans="7:7" ht="13">
      <c r="G305" s="29"/>
    </row>
    <row r="306" spans="7:7" ht="13">
      <c r="G306" s="29"/>
    </row>
    <row r="307" spans="7:7" ht="13">
      <c r="G307" s="29"/>
    </row>
    <row r="308" spans="7:7" ht="13">
      <c r="G308" s="29"/>
    </row>
    <row r="309" spans="7:7" ht="13">
      <c r="G309" s="29"/>
    </row>
    <row r="310" spans="7:7" ht="13">
      <c r="G310" s="29"/>
    </row>
    <row r="311" spans="7:7" ht="13">
      <c r="G311" s="29"/>
    </row>
    <row r="312" spans="7:7" ht="13">
      <c r="G312" s="29"/>
    </row>
    <row r="313" spans="7:7" ht="13">
      <c r="G313" s="29"/>
    </row>
    <row r="314" spans="7:7" ht="13">
      <c r="G314" s="29"/>
    </row>
    <row r="315" spans="7:7" ht="13">
      <c r="G315" s="29"/>
    </row>
    <row r="316" spans="7:7" ht="13">
      <c r="G316" s="29"/>
    </row>
    <row r="317" spans="7:7" ht="13">
      <c r="G317" s="29"/>
    </row>
    <row r="318" spans="7:7" ht="13">
      <c r="G318" s="29"/>
    </row>
    <row r="319" spans="7:7" ht="13">
      <c r="G319" s="29"/>
    </row>
    <row r="320" spans="7:7" ht="13">
      <c r="G320" s="29"/>
    </row>
    <row r="321" spans="7:7" ht="13">
      <c r="G321" s="29"/>
    </row>
    <row r="322" spans="7:7" ht="13">
      <c r="G322" s="29"/>
    </row>
    <row r="323" spans="7:7" ht="13">
      <c r="G323" s="29"/>
    </row>
    <row r="324" spans="7:7" ht="13">
      <c r="G324" s="29"/>
    </row>
    <row r="325" spans="7:7" ht="13">
      <c r="G325" s="29"/>
    </row>
    <row r="326" spans="7:7" ht="13">
      <c r="G326" s="29"/>
    </row>
    <row r="327" spans="7:7" ht="13">
      <c r="G327" s="29"/>
    </row>
    <row r="328" spans="7:7" ht="13">
      <c r="G328" s="29"/>
    </row>
    <row r="329" spans="7:7" ht="13">
      <c r="G329" s="29"/>
    </row>
    <row r="330" spans="7:7" ht="13">
      <c r="G330" s="29"/>
    </row>
    <row r="331" spans="7:7" ht="13">
      <c r="G331" s="29"/>
    </row>
    <row r="332" spans="7:7" ht="13">
      <c r="G332" s="29"/>
    </row>
    <row r="333" spans="7:7" ht="13">
      <c r="G333" s="29"/>
    </row>
    <row r="334" spans="7:7" ht="13">
      <c r="G334" s="29"/>
    </row>
    <row r="335" spans="7:7" ht="13">
      <c r="G335" s="29"/>
    </row>
    <row r="336" spans="7:7" ht="13">
      <c r="G336" s="29"/>
    </row>
    <row r="337" spans="7:7" ht="13">
      <c r="G337" s="29"/>
    </row>
    <row r="338" spans="7:7" ht="13">
      <c r="G338" s="29"/>
    </row>
    <row r="339" spans="7:7" ht="13">
      <c r="G339" s="29"/>
    </row>
    <row r="340" spans="7:7" ht="13">
      <c r="G340" s="29"/>
    </row>
    <row r="341" spans="7:7" ht="13">
      <c r="G341" s="29"/>
    </row>
    <row r="342" spans="7:7" ht="13">
      <c r="G342" s="29"/>
    </row>
    <row r="343" spans="7:7" ht="13">
      <c r="G343" s="29"/>
    </row>
    <row r="344" spans="7:7" ht="13">
      <c r="G344" s="29"/>
    </row>
    <row r="345" spans="7:7" ht="13">
      <c r="G345" s="29"/>
    </row>
    <row r="346" spans="7:7" ht="13">
      <c r="G346" s="29"/>
    </row>
    <row r="347" spans="7:7" ht="13">
      <c r="G347" s="29"/>
    </row>
    <row r="348" spans="7:7" ht="13">
      <c r="G348" s="29"/>
    </row>
    <row r="349" spans="7:7" ht="13">
      <c r="G349" s="29"/>
    </row>
    <row r="350" spans="7:7" ht="13">
      <c r="G350" s="29"/>
    </row>
    <row r="351" spans="7:7" ht="13">
      <c r="G351" s="29"/>
    </row>
    <row r="352" spans="7:7" ht="13">
      <c r="G352" s="29"/>
    </row>
    <row r="353" spans="7:7" ht="13">
      <c r="G353" s="29"/>
    </row>
    <row r="354" spans="7:7" ht="13">
      <c r="G354" s="29"/>
    </row>
    <row r="355" spans="7:7" ht="13">
      <c r="G355" s="29"/>
    </row>
    <row r="356" spans="7:7" ht="13">
      <c r="G356" s="29"/>
    </row>
    <row r="357" spans="7:7" ht="13">
      <c r="G357" s="29"/>
    </row>
    <row r="358" spans="7:7" ht="13">
      <c r="G358" s="29"/>
    </row>
    <row r="359" spans="7:7" ht="13">
      <c r="G359" s="29"/>
    </row>
    <row r="360" spans="7:7" ht="13">
      <c r="G360" s="29"/>
    </row>
    <row r="361" spans="7:7" ht="13">
      <c r="G361" s="29"/>
    </row>
    <row r="362" spans="7:7" ht="13">
      <c r="G362" s="29"/>
    </row>
    <row r="363" spans="7:7" ht="13">
      <c r="G363" s="29"/>
    </row>
    <row r="364" spans="7:7" ht="13">
      <c r="G364" s="29"/>
    </row>
    <row r="365" spans="7:7" ht="13">
      <c r="G365" s="29"/>
    </row>
    <row r="366" spans="7:7" ht="13">
      <c r="G366" s="29"/>
    </row>
    <row r="367" spans="7:7" ht="13">
      <c r="G367" s="29"/>
    </row>
    <row r="368" spans="7:7" ht="13">
      <c r="G368" s="29"/>
    </row>
    <row r="369" spans="7:7" ht="13">
      <c r="G369" s="29"/>
    </row>
    <row r="370" spans="7:7" ht="13">
      <c r="G370" s="29"/>
    </row>
    <row r="371" spans="7:7" ht="13">
      <c r="G371" s="29"/>
    </row>
    <row r="372" spans="7:7" ht="13">
      <c r="G372" s="29"/>
    </row>
    <row r="373" spans="7:7" ht="13">
      <c r="G373" s="29"/>
    </row>
    <row r="374" spans="7:7" ht="13">
      <c r="G374" s="29"/>
    </row>
    <row r="375" spans="7:7" ht="13">
      <c r="G375" s="29"/>
    </row>
    <row r="376" spans="7:7" ht="13">
      <c r="G376" s="29"/>
    </row>
    <row r="377" spans="7:7" ht="13">
      <c r="G377" s="29"/>
    </row>
    <row r="378" spans="7:7" ht="13">
      <c r="G378" s="29"/>
    </row>
    <row r="379" spans="7:7" ht="13">
      <c r="G379" s="29"/>
    </row>
    <row r="380" spans="7:7" ht="13">
      <c r="G380" s="29"/>
    </row>
    <row r="381" spans="7:7" ht="13">
      <c r="G381" s="29"/>
    </row>
    <row r="382" spans="7:7" ht="13">
      <c r="G382" s="29"/>
    </row>
    <row r="383" spans="7:7" ht="13">
      <c r="G383" s="29"/>
    </row>
    <row r="384" spans="7:7" ht="13">
      <c r="G384" s="29"/>
    </row>
    <row r="385" spans="7:7" ht="13">
      <c r="G385" s="29"/>
    </row>
    <row r="386" spans="7:7" ht="13">
      <c r="G386" s="29"/>
    </row>
    <row r="387" spans="7:7" ht="13">
      <c r="G387" s="29"/>
    </row>
    <row r="388" spans="7:7" ht="13">
      <c r="G388" s="29"/>
    </row>
    <row r="389" spans="7:7" ht="13">
      <c r="G389" s="29"/>
    </row>
    <row r="390" spans="7:7" ht="13">
      <c r="G390" s="29"/>
    </row>
    <row r="391" spans="7:7" ht="13">
      <c r="G391" s="29"/>
    </row>
    <row r="392" spans="7:7" ht="13">
      <c r="G392" s="29"/>
    </row>
    <row r="393" spans="7:7" ht="13">
      <c r="G393" s="29"/>
    </row>
    <row r="394" spans="7:7" ht="13">
      <c r="G394" s="29"/>
    </row>
    <row r="395" spans="7:7" ht="13">
      <c r="G395" s="29"/>
    </row>
    <row r="396" spans="7:7" ht="13">
      <c r="G396" s="29"/>
    </row>
    <row r="397" spans="7:7" ht="13">
      <c r="G397" s="29"/>
    </row>
    <row r="398" spans="7:7" ht="13">
      <c r="G398" s="29"/>
    </row>
    <row r="399" spans="7:7" ht="13">
      <c r="G399" s="29"/>
    </row>
    <row r="400" spans="7:7" ht="13">
      <c r="G400" s="29"/>
    </row>
    <row r="401" spans="7:7" ht="13">
      <c r="G401" s="29"/>
    </row>
    <row r="402" spans="7:7" ht="13">
      <c r="G402" s="29"/>
    </row>
    <row r="403" spans="7:7" ht="13">
      <c r="G403" s="29"/>
    </row>
    <row r="404" spans="7:7" ht="13">
      <c r="G404" s="29"/>
    </row>
    <row r="405" spans="7:7" ht="13">
      <c r="G405" s="29"/>
    </row>
    <row r="406" spans="7:7" ht="13">
      <c r="G406" s="29"/>
    </row>
    <row r="407" spans="7:7" ht="13">
      <c r="G407" s="29"/>
    </row>
    <row r="408" spans="7:7" ht="13">
      <c r="G408" s="29"/>
    </row>
    <row r="409" spans="7:7" ht="13">
      <c r="G409" s="29"/>
    </row>
    <row r="410" spans="7:7" ht="13">
      <c r="G410" s="29"/>
    </row>
    <row r="411" spans="7:7" ht="13">
      <c r="G411" s="29"/>
    </row>
    <row r="412" spans="7:7" ht="13">
      <c r="G412" s="29"/>
    </row>
    <row r="413" spans="7:7" ht="13">
      <c r="G413" s="29"/>
    </row>
    <row r="414" spans="7:7" ht="13">
      <c r="G414" s="29"/>
    </row>
    <row r="415" spans="7:7" ht="13">
      <c r="G415" s="29"/>
    </row>
    <row r="416" spans="7:7" ht="13">
      <c r="G416" s="29"/>
    </row>
    <row r="417" spans="7:7" ht="13">
      <c r="G417" s="29"/>
    </row>
    <row r="418" spans="7:7" ht="13">
      <c r="G418" s="29"/>
    </row>
    <row r="419" spans="7:7" ht="13">
      <c r="G419" s="29"/>
    </row>
    <row r="420" spans="7:7" ht="13">
      <c r="G420" s="29"/>
    </row>
    <row r="421" spans="7:7" ht="13">
      <c r="G421" s="29"/>
    </row>
    <row r="422" spans="7:7" ht="13">
      <c r="G422" s="29"/>
    </row>
    <row r="423" spans="7:7" ht="13">
      <c r="G423" s="29"/>
    </row>
    <row r="424" spans="7:7" ht="13">
      <c r="G424" s="29"/>
    </row>
    <row r="425" spans="7:7" ht="13">
      <c r="G425" s="29"/>
    </row>
    <row r="426" spans="7:7" ht="13">
      <c r="G426" s="29"/>
    </row>
    <row r="427" spans="7:7" ht="13">
      <c r="G427" s="29"/>
    </row>
    <row r="428" spans="7:7" ht="13">
      <c r="G428" s="29"/>
    </row>
    <row r="429" spans="7:7" ht="13">
      <c r="G429" s="29"/>
    </row>
    <row r="430" spans="7:7" ht="13">
      <c r="G430" s="29"/>
    </row>
    <row r="431" spans="7:7" ht="13">
      <c r="G431" s="29"/>
    </row>
    <row r="432" spans="7:7" ht="13">
      <c r="G432" s="29"/>
    </row>
    <row r="433" spans="7:7" ht="13">
      <c r="G433" s="29"/>
    </row>
    <row r="434" spans="7:7" ht="13">
      <c r="G434" s="29"/>
    </row>
    <row r="435" spans="7:7" ht="13">
      <c r="G435" s="29"/>
    </row>
    <row r="436" spans="7:7" ht="13">
      <c r="G436" s="29"/>
    </row>
    <row r="437" spans="7:7" ht="13">
      <c r="G437" s="29"/>
    </row>
    <row r="438" spans="7:7" ht="13">
      <c r="G438" s="29"/>
    </row>
    <row r="439" spans="7:7" ht="13">
      <c r="G439" s="29"/>
    </row>
    <row r="440" spans="7:7" ht="13">
      <c r="G440" s="29"/>
    </row>
    <row r="441" spans="7:7" ht="13">
      <c r="G441" s="29"/>
    </row>
    <row r="442" spans="7:7" ht="13">
      <c r="G442" s="29"/>
    </row>
    <row r="443" spans="7:7" ht="13">
      <c r="G443" s="29"/>
    </row>
    <row r="444" spans="7:7" ht="13">
      <c r="G444" s="29"/>
    </row>
    <row r="445" spans="7:7" ht="13">
      <c r="G445" s="29"/>
    </row>
    <row r="446" spans="7:7" ht="13">
      <c r="G446" s="29"/>
    </row>
    <row r="447" spans="7:7" ht="13">
      <c r="G447" s="29"/>
    </row>
    <row r="448" spans="7:7" ht="13">
      <c r="G448" s="29"/>
    </row>
    <row r="449" spans="7:7" ht="13">
      <c r="G449" s="29"/>
    </row>
    <row r="450" spans="7:7" ht="13">
      <c r="G450" s="29"/>
    </row>
    <row r="451" spans="7:7" ht="13">
      <c r="G451" s="29"/>
    </row>
    <row r="452" spans="7:7" ht="13">
      <c r="G452" s="29"/>
    </row>
    <row r="453" spans="7:7" ht="13">
      <c r="G453" s="29"/>
    </row>
    <row r="454" spans="7:7" ht="13">
      <c r="G454" s="29"/>
    </row>
    <row r="455" spans="7:7" ht="13">
      <c r="G455" s="29"/>
    </row>
    <row r="456" spans="7:7" ht="13">
      <c r="G456" s="29"/>
    </row>
    <row r="457" spans="7:7" ht="13">
      <c r="G457" s="29"/>
    </row>
    <row r="458" spans="7:7" ht="13">
      <c r="G458" s="29"/>
    </row>
    <row r="459" spans="7:7" ht="13">
      <c r="G459" s="29"/>
    </row>
    <row r="460" spans="7:7" ht="13">
      <c r="G460" s="29"/>
    </row>
    <row r="461" spans="7:7" ht="13">
      <c r="G461" s="29"/>
    </row>
    <row r="462" spans="7:7" ht="13">
      <c r="G462" s="29"/>
    </row>
    <row r="463" spans="7:7" ht="13">
      <c r="G463" s="29"/>
    </row>
    <row r="464" spans="7:7" ht="13">
      <c r="G464" s="29"/>
    </row>
    <row r="465" spans="7:7" ht="13">
      <c r="G465" s="29"/>
    </row>
    <row r="466" spans="7:7" ht="13">
      <c r="G466" s="29"/>
    </row>
    <row r="467" spans="7:7" ht="13">
      <c r="G467" s="29"/>
    </row>
    <row r="468" spans="7:7" ht="13">
      <c r="G468" s="29"/>
    </row>
    <row r="469" spans="7:7" ht="13">
      <c r="G469" s="29"/>
    </row>
    <row r="470" spans="7:7" ht="13">
      <c r="G470" s="29"/>
    </row>
    <row r="471" spans="7:7" ht="13">
      <c r="G471" s="29"/>
    </row>
    <row r="472" spans="7:7" ht="13">
      <c r="G472" s="29"/>
    </row>
    <row r="473" spans="7:7" ht="13">
      <c r="G473" s="29"/>
    </row>
    <row r="474" spans="7:7" ht="13">
      <c r="G474" s="29"/>
    </row>
    <row r="475" spans="7:7" ht="13">
      <c r="G475" s="29"/>
    </row>
    <row r="476" spans="7:7" ht="13">
      <c r="G476" s="29"/>
    </row>
    <row r="477" spans="7:7" ht="13">
      <c r="G477" s="29"/>
    </row>
    <row r="478" spans="7:7" ht="13">
      <c r="G478" s="29"/>
    </row>
    <row r="479" spans="7:7" ht="13">
      <c r="G479" s="29"/>
    </row>
    <row r="480" spans="7:7" ht="13">
      <c r="G480" s="29"/>
    </row>
    <row r="481" spans="7:7" ht="13">
      <c r="G481" s="29"/>
    </row>
    <row r="482" spans="7:7" ht="13">
      <c r="G482" s="29"/>
    </row>
    <row r="483" spans="7:7" ht="13">
      <c r="G483" s="29"/>
    </row>
    <row r="484" spans="7:7" ht="13">
      <c r="G484" s="29"/>
    </row>
    <row r="485" spans="7:7" ht="13">
      <c r="G485" s="29"/>
    </row>
    <row r="486" spans="7:7" ht="13">
      <c r="G486" s="29"/>
    </row>
    <row r="487" spans="7:7" ht="13">
      <c r="G487" s="29"/>
    </row>
    <row r="488" spans="7:7" ht="13">
      <c r="G488" s="29"/>
    </row>
    <row r="489" spans="7:7" ht="13">
      <c r="G489" s="29"/>
    </row>
    <row r="490" spans="7:7" ht="13">
      <c r="G490" s="29"/>
    </row>
    <row r="491" spans="7:7" ht="13">
      <c r="G491" s="29"/>
    </row>
    <row r="492" spans="7:7" ht="13">
      <c r="G492" s="29"/>
    </row>
    <row r="493" spans="7:7" ht="13">
      <c r="G493" s="29"/>
    </row>
    <row r="494" spans="7:7" ht="13">
      <c r="G494" s="29"/>
    </row>
    <row r="495" spans="7:7" ht="13">
      <c r="G495" s="29"/>
    </row>
    <row r="496" spans="7:7" ht="13">
      <c r="G496" s="29"/>
    </row>
    <row r="497" spans="7:7" ht="13">
      <c r="G497" s="29"/>
    </row>
    <row r="498" spans="7:7" ht="13">
      <c r="G498" s="29"/>
    </row>
    <row r="499" spans="7:7" ht="13">
      <c r="G499" s="29"/>
    </row>
    <row r="500" spans="7:7" ht="13">
      <c r="G500" s="29"/>
    </row>
    <row r="501" spans="7:7" ht="13">
      <c r="G501" s="29"/>
    </row>
    <row r="502" spans="7:7" ht="13">
      <c r="G502" s="29"/>
    </row>
    <row r="503" spans="7:7" ht="13">
      <c r="G503" s="29"/>
    </row>
    <row r="504" spans="7:7" ht="13">
      <c r="G504" s="29"/>
    </row>
    <row r="505" spans="7:7" ht="13">
      <c r="G505" s="29"/>
    </row>
    <row r="506" spans="7:7" ht="13">
      <c r="G506" s="29"/>
    </row>
    <row r="507" spans="7:7" ht="13">
      <c r="G507" s="29"/>
    </row>
    <row r="508" spans="7:7" ht="13">
      <c r="G508" s="29"/>
    </row>
    <row r="509" spans="7:7" ht="13">
      <c r="G509" s="29"/>
    </row>
    <row r="510" spans="7:7" ht="13">
      <c r="G510" s="29"/>
    </row>
    <row r="511" spans="7:7" ht="13">
      <c r="G511" s="29"/>
    </row>
    <row r="512" spans="7:7" ht="13">
      <c r="G512" s="29"/>
    </row>
    <row r="513" spans="7:7" ht="13">
      <c r="G513" s="29"/>
    </row>
    <row r="514" spans="7:7" ht="13">
      <c r="G514" s="29"/>
    </row>
    <row r="515" spans="7:7" ht="13">
      <c r="G515" s="29"/>
    </row>
    <row r="516" spans="7:7" ht="13">
      <c r="G516" s="29"/>
    </row>
    <row r="517" spans="7:7" ht="13">
      <c r="G517" s="29"/>
    </row>
    <row r="518" spans="7:7" ht="13">
      <c r="G518" s="29"/>
    </row>
    <row r="519" spans="7:7" ht="13">
      <c r="G519" s="29"/>
    </row>
    <row r="520" spans="7:7" ht="13">
      <c r="G520" s="29"/>
    </row>
    <row r="521" spans="7:7" ht="13">
      <c r="G521" s="29"/>
    </row>
    <row r="522" spans="7:7" ht="13">
      <c r="G522" s="29"/>
    </row>
    <row r="523" spans="7:7" ht="13">
      <c r="G523" s="29"/>
    </row>
    <row r="524" spans="7:7" ht="13">
      <c r="G524" s="29"/>
    </row>
    <row r="525" spans="7:7" ht="13">
      <c r="G525" s="29"/>
    </row>
    <row r="526" spans="7:7" ht="13">
      <c r="G526" s="29"/>
    </row>
    <row r="527" spans="7:7" ht="13">
      <c r="G527" s="29"/>
    </row>
    <row r="528" spans="7:7" ht="13">
      <c r="G528" s="29"/>
    </row>
    <row r="529" spans="7:7" ht="13">
      <c r="G529" s="29"/>
    </row>
    <row r="530" spans="7:7" ht="13">
      <c r="G530" s="29"/>
    </row>
    <row r="531" spans="7:7" ht="13">
      <c r="G531" s="29"/>
    </row>
    <row r="532" spans="7:7" ht="13">
      <c r="G532" s="29"/>
    </row>
    <row r="533" spans="7:7" ht="13">
      <c r="G533" s="29"/>
    </row>
    <row r="534" spans="7:7" ht="13">
      <c r="G534" s="29"/>
    </row>
    <row r="535" spans="7:7" ht="13">
      <c r="G535" s="29"/>
    </row>
    <row r="536" spans="7:7" ht="13">
      <c r="G536" s="29"/>
    </row>
    <row r="537" spans="7:7" ht="13">
      <c r="G537" s="29"/>
    </row>
    <row r="538" spans="7:7" ht="13">
      <c r="G538" s="29"/>
    </row>
    <row r="539" spans="7:7" ht="13">
      <c r="G539" s="29"/>
    </row>
    <row r="540" spans="7:7" ht="13">
      <c r="G540" s="29"/>
    </row>
    <row r="541" spans="7:7" ht="13">
      <c r="G541" s="29"/>
    </row>
    <row r="542" spans="7:7" ht="13">
      <c r="G542" s="29"/>
    </row>
    <row r="543" spans="7:7" ht="13">
      <c r="G543" s="29"/>
    </row>
    <row r="544" spans="7:7" ht="13">
      <c r="G544" s="29"/>
    </row>
    <row r="545" spans="7:7" ht="13">
      <c r="G545" s="29"/>
    </row>
    <row r="546" spans="7:7" ht="13">
      <c r="G546" s="29"/>
    </row>
    <row r="547" spans="7:7" ht="13">
      <c r="G547" s="29"/>
    </row>
    <row r="548" spans="7:7" ht="13">
      <c r="G548" s="29"/>
    </row>
    <row r="549" spans="7:7" ht="13">
      <c r="G549" s="29"/>
    </row>
    <row r="550" spans="7:7" ht="13">
      <c r="G550" s="29"/>
    </row>
    <row r="551" spans="7:7" ht="13">
      <c r="G551" s="29"/>
    </row>
    <row r="552" spans="7:7" ht="13">
      <c r="G552" s="29"/>
    </row>
    <row r="553" spans="7:7" ht="13">
      <c r="G553" s="29"/>
    </row>
    <row r="554" spans="7:7" ht="13">
      <c r="G554" s="29"/>
    </row>
    <row r="555" spans="7:7" ht="13">
      <c r="G555" s="29"/>
    </row>
    <row r="556" spans="7:7" ht="13">
      <c r="G556" s="29"/>
    </row>
    <row r="557" spans="7:7" ht="13">
      <c r="G557" s="29"/>
    </row>
    <row r="558" spans="7:7" ht="13">
      <c r="G558" s="29"/>
    </row>
    <row r="559" spans="7:7" ht="13">
      <c r="G559" s="29"/>
    </row>
    <row r="560" spans="7:7" ht="13">
      <c r="G560" s="29"/>
    </row>
    <row r="561" spans="7:7" ht="13">
      <c r="G561" s="29"/>
    </row>
    <row r="562" spans="7:7" ht="13">
      <c r="G562" s="29"/>
    </row>
    <row r="563" spans="7:7" ht="13">
      <c r="G563" s="29"/>
    </row>
    <row r="564" spans="7:7" ht="13">
      <c r="G564" s="29"/>
    </row>
    <row r="565" spans="7:7" ht="13">
      <c r="G565" s="29"/>
    </row>
    <row r="566" spans="7:7" ht="13">
      <c r="G566" s="29"/>
    </row>
    <row r="567" spans="7:7" ht="13">
      <c r="G567" s="29"/>
    </row>
    <row r="568" spans="7:7" ht="13">
      <c r="G568" s="29"/>
    </row>
    <row r="569" spans="7:7" ht="13">
      <c r="G569" s="29"/>
    </row>
    <row r="570" spans="7:7" ht="13">
      <c r="G570" s="29"/>
    </row>
    <row r="571" spans="7:7" ht="13">
      <c r="G571" s="29"/>
    </row>
    <row r="572" spans="7:7" ht="13">
      <c r="G572" s="29"/>
    </row>
    <row r="573" spans="7:7" ht="13">
      <c r="G573" s="29"/>
    </row>
    <row r="574" spans="7:7" ht="13">
      <c r="G574" s="29"/>
    </row>
    <row r="575" spans="7:7" ht="13">
      <c r="G575" s="29"/>
    </row>
    <row r="576" spans="7:7" ht="13">
      <c r="G576" s="29"/>
    </row>
    <row r="577" spans="7:7" ht="13">
      <c r="G577" s="29"/>
    </row>
    <row r="578" spans="7:7" ht="13">
      <c r="G578" s="29"/>
    </row>
    <row r="579" spans="7:7" ht="13">
      <c r="G579" s="29"/>
    </row>
    <row r="580" spans="7:7" ht="13">
      <c r="G580" s="29"/>
    </row>
    <row r="581" spans="7:7" ht="13">
      <c r="G581" s="29"/>
    </row>
    <row r="582" spans="7:7" ht="13">
      <c r="G582" s="29"/>
    </row>
    <row r="583" spans="7:7" ht="13">
      <c r="G583" s="29"/>
    </row>
    <row r="584" spans="7:7" ht="13">
      <c r="G584" s="29"/>
    </row>
    <row r="585" spans="7:7" ht="13">
      <c r="G585" s="29"/>
    </row>
    <row r="586" spans="7:7" ht="13">
      <c r="G586" s="29"/>
    </row>
    <row r="587" spans="7:7" ht="13">
      <c r="G587" s="29"/>
    </row>
    <row r="588" spans="7:7" ht="13">
      <c r="G588" s="29"/>
    </row>
    <row r="589" spans="7:7" ht="13">
      <c r="G589" s="29"/>
    </row>
    <row r="590" spans="7:7" ht="13">
      <c r="G590" s="29"/>
    </row>
    <row r="591" spans="7:7" ht="13">
      <c r="G591" s="29"/>
    </row>
    <row r="592" spans="7:7" ht="13">
      <c r="G592" s="29"/>
    </row>
    <row r="593" spans="7:7" ht="13">
      <c r="G593" s="29"/>
    </row>
    <row r="594" spans="7:7" ht="13">
      <c r="G594" s="29"/>
    </row>
    <row r="595" spans="7:7" ht="13">
      <c r="G595" s="29"/>
    </row>
    <row r="596" spans="7:7" ht="13">
      <c r="G596" s="29"/>
    </row>
    <row r="597" spans="7:7" ht="13">
      <c r="G597" s="29"/>
    </row>
    <row r="598" spans="7:7" ht="13">
      <c r="G598" s="29"/>
    </row>
    <row r="599" spans="7:7" ht="13">
      <c r="G599" s="29"/>
    </row>
    <row r="600" spans="7:7" ht="13">
      <c r="G600" s="29"/>
    </row>
    <row r="601" spans="7:7" ht="13">
      <c r="G601" s="29"/>
    </row>
    <row r="602" spans="7:7" ht="13">
      <c r="G602" s="29"/>
    </row>
    <row r="603" spans="7:7" ht="13">
      <c r="G603" s="29"/>
    </row>
    <row r="604" spans="7:7" ht="13">
      <c r="G604" s="29"/>
    </row>
    <row r="605" spans="7:7" ht="13">
      <c r="G605" s="29"/>
    </row>
    <row r="606" spans="7:7" ht="13">
      <c r="G606" s="29"/>
    </row>
    <row r="607" spans="7:7" ht="13">
      <c r="G607" s="29"/>
    </row>
    <row r="608" spans="7:7" ht="13">
      <c r="G608" s="29"/>
    </row>
    <row r="609" spans="7:7" ht="13">
      <c r="G609" s="29"/>
    </row>
    <row r="610" spans="7:7" ht="13">
      <c r="G610" s="29"/>
    </row>
    <row r="611" spans="7:7" ht="13">
      <c r="G611" s="29"/>
    </row>
    <row r="612" spans="7:7" ht="13">
      <c r="G612" s="29"/>
    </row>
    <row r="613" spans="7:7" ht="13">
      <c r="G613" s="29"/>
    </row>
    <row r="614" spans="7:7" ht="13">
      <c r="G614" s="29"/>
    </row>
    <row r="615" spans="7:7" ht="13">
      <c r="G615" s="29"/>
    </row>
    <row r="616" spans="7:7" ht="13">
      <c r="G616" s="29"/>
    </row>
    <row r="617" spans="7:7" ht="13">
      <c r="G617" s="29"/>
    </row>
    <row r="618" spans="7:7" ht="13">
      <c r="G618" s="29"/>
    </row>
    <row r="619" spans="7:7" ht="13">
      <c r="G619" s="29"/>
    </row>
    <row r="620" spans="7:7" ht="13">
      <c r="G620" s="29"/>
    </row>
    <row r="621" spans="7:7" ht="13">
      <c r="G621" s="29"/>
    </row>
    <row r="622" spans="7:7" ht="13">
      <c r="G622" s="29"/>
    </row>
    <row r="623" spans="7:7" ht="13">
      <c r="G623" s="29"/>
    </row>
    <row r="624" spans="7:7" ht="13">
      <c r="G624" s="29"/>
    </row>
    <row r="625" spans="7:7" ht="13">
      <c r="G625" s="29"/>
    </row>
    <row r="626" spans="7:7" ht="13">
      <c r="G626" s="29"/>
    </row>
    <row r="627" spans="7:7" ht="13">
      <c r="G627" s="29"/>
    </row>
    <row r="628" spans="7:7" ht="13">
      <c r="G628" s="29"/>
    </row>
    <row r="629" spans="7:7" ht="13">
      <c r="G629" s="29"/>
    </row>
    <row r="630" spans="7:7" ht="13">
      <c r="G630" s="29"/>
    </row>
    <row r="631" spans="7:7" ht="13">
      <c r="G631" s="29"/>
    </row>
    <row r="632" spans="7:7" ht="13">
      <c r="G632" s="29"/>
    </row>
    <row r="633" spans="7:7" ht="13">
      <c r="G633" s="29"/>
    </row>
    <row r="634" spans="7:7" ht="13">
      <c r="G634" s="29"/>
    </row>
    <row r="635" spans="7:7" ht="13">
      <c r="G635" s="29"/>
    </row>
    <row r="636" spans="7:7" ht="13">
      <c r="G636" s="29"/>
    </row>
    <row r="637" spans="7:7" ht="13">
      <c r="G637" s="29"/>
    </row>
    <row r="638" spans="7:7" ht="13">
      <c r="G638" s="29"/>
    </row>
    <row r="639" spans="7:7" ht="13">
      <c r="G639" s="29"/>
    </row>
    <row r="640" spans="7:7" ht="13">
      <c r="G640" s="29"/>
    </row>
    <row r="641" spans="7:7" ht="13">
      <c r="G641" s="29"/>
    </row>
    <row r="642" spans="7:7" ht="13">
      <c r="G642" s="29"/>
    </row>
    <row r="643" spans="7:7" ht="13">
      <c r="G643" s="29"/>
    </row>
    <row r="644" spans="7:7" ht="13">
      <c r="G644" s="29"/>
    </row>
    <row r="645" spans="7:7" ht="13">
      <c r="G645" s="29"/>
    </row>
    <row r="646" spans="7:7" ht="13">
      <c r="G646" s="29"/>
    </row>
    <row r="647" spans="7:7" ht="13">
      <c r="G647" s="29"/>
    </row>
    <row r="648" spans="7:7" ht="13">
      <c r="G648" s="29"/>
    </row>
    <row r="649" spans="7:7" ht="13">
      <c r="G649" s="29"/>
    </row>
    <row r="650" spans="7:7" ht="13">
      <c r="G650" s="29"/>
    </row>
    <row r="651" spans="7:7" ht="13">
      <c r="G651" s="29"/>
    </row>
    <row r="652" spans="7:7" ht="13">
      <c r="G652" s="29"/>
    </row>
    <row r="653" spans="7:7" ht="13">
      <c r="G653" s="29"/>
    </row>
    <row r="654" spans="7:7" ht="13">
      <c r="G654" s="29"/>
    </row>
    <row r="655" spans="7:7" ht="13">
      <c r="G655" s="29"/>
    </row>
    <row r="656" spans="7:7" ht="13">
      <c r="G656" s="29"/>
    </row>
    <row r="657" spans="7:7" ht="13">
      <c r="G657" s="29"/>
    </row>
    <row r="658" spans="7:7" ht="13">
      <c r="G658" s="29"/>
    </row>
    <row r="659" spans="7:7" ht="13">
      <c r="G659" s="29"/>
    </row>
    <row r="660" spans="7:7" ht="13">
      <c r="G660" s="29"/>
    </row>
    <row r="661" spans="7:7" ht="13">
      <c r="G661" s="29"/>
    </row>
    <row r="662" spans="7:7" ht="13">
      <c r="G662" s="29"/>
    </row>
    <row r="663" spans="7:7" ht="13">
      <c r="G663" s="29"/>
    </row>
    <row r="664" spans="7:7" ht="13">
      <c r="G664" s="29"/>
    </row>
    <row r="665" spans="7:7" ht="13">
      <c r="G665" s="29"/>
    </row>
    <row r="666" spans="7:7" ht="13">
      <c r="G666" s="29"/>
    </row>
    <row r="667" spans="7:7" ht="13">
      <c r="G667" s="29"/>
    </row>
    <row r="668" spans="7:7" ht="13">
      <c r="G668" s="29"/>
    </row>
    <row r="669" spans="7:7" ht="13">
      <c r="G669" s="29"/>
    </row>
    <row r="670" spans="7:7" ht="13">
      <c r="G670" s="29"/>
    </row>
    <row r="671" spans="7:7" ht="13">
      <c r="G671" s="29"/>
    </row>
    <row r="672" spans="7:7" ht="13">
      <c r="G672" s="29"/>
    </row>
    <row r="673" spans="7:7" ht="13">
      <c r="G673" s="29"/>
    </row>
    <row r="674" spans="7:7" ht="13">
      <c r="G674" s="29"/>
    </row>
    <row r="675" spans="7:7" ht="13">
      <c r="G675" s="29"/>
    </row>
    <row r="676" spans="7:7" ht="13">
      <c r="G676" s="29"/>
    </row>
    <row r="677" spans="7:7" ht="13">
      <c r="G677" s="29"/>
    </row>
    <row r="678" spans="7:7" ht="13">
      <c r="G678" s="29"/>
    </row>
    <row r="679" spans="7:7" ht="13">
      <c r="G679" s="29"/>
    </row>
    <row r="680" spans="7:7" ht="13">
      <c r="G680" s="29"/>
    </row>
    <row r="681" spans="7:7" ht="13">
      <c r="G681" s="29"/>
    </row>
    <row r="682" spans="7:7" ht="13">
      <c r="G682" s="29"/>
    </row>
    <row r="683" spans="7:7" ht="13">
      <c r="G683" s="29"/>
    </row>
    <row r="684" spans="7:7" ht="13">
      <c r="G684" s="29"/>
    </row>
    <row r="685" spans="7:7" ht="13">
      <c r="G685" s="29"/>
    </row>
    <row r="686" spans="7:7" ht="13">
      <c r="G686" s="29"/>
    </row>
    <row r="687" spans="7:7" ht="13">
      <c r="G687" s="29"/>
    </row>
    <row r="688" spans="7:7" ht="13">
      <c r="G688" s="29"/>
    </row>
    <row r="689" spans="7:7" ht="13">
      <c r="G689" s="29"/>
    </row>
    <row r="690" spans="7:7" ht="13">
      <c r="G690" s="29"/>
    </row>
    <row r="691" spans="7:7" ht="13">
      <c r="G691" s="29"/>
    </row>
    <row r="692" spans="7:7" ht="13">
      <c r="G692" s="29"/>
    </row>
    <row r="693" spans="7:7" ht="13">
      <c r="G693" s="29"/>
    </row>
    <row r="694" spans="7:7" ht="13">
      <c r="G694" s="29"/>
    </row>
    <row r="695" spans="7:7" ht="13">
      <c r="G695" s="29"/>
    </row>
    <row r="696" spans="7:7" ht="13">
      <c r="G696" s="29"/>
    </row>
    <row r="697" spans="7:7" ht="13">
      <c r="G697" s="29"/>
    </row>
    <row r="698" spans="7:7" ht="13">
      <c r="G698" s="29"/>
    </row>
    <row r="699" spans="7:7" ht="13">
      <c r="G699" s="29"/>
    </row>
    <row r="700" spans="7:7" ht="13">
      <c r="G700" s="29"/>
    </row>
    <row r="701" spans="7:7" ht="13">
      <c r="G701" s="29"/>
    </row>
    <row r="702" spans="7:7" ht="13">
      <c r="G702" s="29"/>
    </row>
    <row r="703" spans="7:7" ht="13">
      <c r="G703" s="29"/>
    </row>
    <row r="704" spans="7:7" ht="13">
      <c r="G704" s="29"/>
    </row>
    <row r="705" spans="7:7" ht="13">
      <c r="G705" s="29"/>
    </row>
    <row r="706" spans="7:7" ht="13">
      <c r="G706" s="29"/>
    </row>
    <row r="707" spans="7:7" ht="13">
      <c r="G707" s="29"/>
    </row>
    <row r="708" spans="7:7" ht="13">
      <c r="G708" s="29"/>
    </row>
    <row r="709" spans="7:7" ht="13">
      <c r="G709" s="29"/>
    </row>
    <row r="710" spans="7:7" ht="13">
      <c r="G710" s="29"/>
    </row>
    <row r="711" spans="7:7" ht="13">
      <c r="G711" s="29"/>
    </row>
    <row r="712" spans="7:7" ht="13">
      <c r="G712" s="29"/>
    </row>
    <row r="713" spans="7:7" ht="13">
      <c r="G713" s="29"/>
    </row>
    <row r="714" spans="7:7" ht="13">
      <c r="G714" s="29"/>
    </row>
    <row r="715" spans="7:7" ht="13">
      <c r="G715" s="29"/>
    </row>
    <row r="716" spans="7:7" ht="13">
      <c r="G716" s="29"/>
    </row>
    <row r="717" spans="7:7" ht="13">
      <c r="G717" s="29"/>
    </row>
    <row r="718" spans="7:7" ht="13">
      <c r="G718" s="29"/>
    </row>
    <row r="719" spans="7:7" ht="13">
      <c r="G719" s="29"/>
    </row>
    <row r="720" spans="7:7" ht="13">
      <c r="G720" s="29"/>
    </row>
    <row r="721" spans="7:7" ht="13">
      <c r="G721" s="29"/>
    </row>
    <row r="722" spans="7:7" ht="13">
      <c r="G722" s="29"/>
    </row>
    <row r="723" spans="7:7" ht="13">
      <c r="G723" s="29"/>
    </row>
    <row r="724" spans="7:7" ht="13">
      <c r="G724" s="29"/>
    </row>
    <row r="725" spans="7:7" ht="13">
      <c r="G725" s="29"/>
    </row>
    <row r="726" spans="7:7" ht="13">
      <c r="G726" s="29"/>
    </row>
    <row r="727" spans="7:7" ht="13">
      <c r="G727" s="29"/>
    </row>
    <row r="728" spans="7:7" ht="13">
      <c r="G728" s="29"/>
    </row>
    <row r="729" spans="7:7" ht="13">
      <c r="G729" s="29"/>
    </row>
    <row r="730" spans="7:7" ht="13">
      <c r="G730" s="29"/>
    </row>
    <row r="731" spans="7:7" ht="13">
      <c r="G731" s="29"/>
    </row>
    <row r="732" spans="7:7" ht="13">
      <c r="G732" s="29"/>
    </row>
    <row r="733" spans="7:7" ht="13">
      <c r="G733" s="29"/>
    </row>
    <row r="734" spans="7:7" ht="13">
      <c r="G734" s="29"/>
    </row>
    <row r="735" spans="7:7" ht="13">
      <c r="G735" s="29"/>
    </row>
    <row r="736" spans="7:7" ht="13">
      <c r="G736" s="29"/>
    </row>
    <row r="737" spans="7:7" ht="13">
      <c r="G737" s="29"/>
    </row>
    <row r="738" spans="7:7" ht="13">
      <c r="G738" s="29"/>
    </row>
    <row r="739" spans="7:7" ht="13">
      <c r="G739" s="29"/>
    </row>
    <row r="740" spans="7:7" ht="13">
      <c r="G740" s="29"/>
    </row>
    <row r="741" spans="7:7" ht="13">
      <c r="G741" s="29"/>
    </row>
    <row r="742" spans="7:7" ht="13">
      <c r="G742" s="29"/>
    </row>
    <row r="743" spans="7:7" ht="13">
      <c r="G743" s="29"/>
    </row>
    <row r="744" spans="7:7" ht="13">
      <c r="G744" s="29"/>
    </row>
    <row r="745" spans="7:7" ht="13">
      <c r="G745" s="29"/>
    </row>
    <row r="746" spans="7:7" ht="13">
      <c r="G746" s="29"/>
    </row>
    <row r="747" spans="7:7" ht="13">
      <c r="G747" s="29"/>
    </row>
    <row r="748" spans="7:7" ht="13">
      <c r="G748" s="29"/>
    </row>
    <row r="749" spans="7:7" ht="13">
      <c r="G749" s="29"/>
    </row>
    <row r="750" spans="7:7" ht="13">
      <c r="G750" s="29"/>
    </row>
    <row r="751" spans="7:7" ht="13">
      <c r="G751" s="29"/>
    </row>
    <row r="752" spans="7:7" ht="13">
      <c r="G752" s="29"/>
    </row>
    <row r="753" spans="7:7" ht="13">
      <c r="G753" s="29"/>
    </row>
    <row r="754" spans="7:7" ht="13">
      <c r="G754" s="29"/>
    </row>
    <row r="755" spans="7:7" ht="13">
      <c r="G755" s="29"/>
    </row>
    <row r="756" spans="7:7" ht="13">
      <c r="G756" s="29"/>
    </row>
    <row r="757" spans="7:7" ht="13">
      <c r="G757" s="29"/>
    </row>
    <row r="758" spans="7:7" ht="13">
      <c r="G758" s="29"/>
    </row>
    <row r="759" spans="7:7" ht="13">
      <c r="G759" s="29"/>
    </row>
    <row r="760" spans="7:7" ht="13">
      <c r="G760" s="29"/>
    </row>
    <row r="761" spans="7:7" ht="13">
      <c r="G761" s="29"/>
    </row>
    <row r="762" spans="7:7" ht="13">
      <c r="G762" s="29"/>
    </row>
    <row r="763" spans="7:7" ht="13">
      <c r="G763" s="29"/>
    </row>
    <row r="764" spans="7:7" ht="13">
      <c r="G764" s="29"/>
    </row>
    <row r="765" spans="7:7" ht="13">
      <c r="G765" s="29"/>
    </row>
    <row r="766" spans="7:7" ht="13">
      <c r="G766" s="29"/>
    </row>
    <row r="767" spans="7:7" ht="13">
      <c r="G767" s="29"/>
    </row>
    <row r="768" spans="7:7" ht="13">
      <c r="G768" s="29"/>
    </row>
    <row r="769" spans="7:7" ht="13">
      <c r="G769" s="29"/>
    </row>
    <row r="770" spans="7:7" ht="13">
      <c r="G770" s="29"/>
    </row>
    <row r="771" spans="7:7" ht="13">
      <c r="G771" s="29"/>
    </row>
    <row r="772" spans="7:7" ht="13">
      <c r="G772" s="29"/>
    </row>
    <row r="773" spans="7:7" ht="13">
      <c r="G773" s="29"/>
    </row>
    <row r="774" spans="7:7" ht="13">
      <c r="G774" s="29"/>
    </row>
    <row r="775" spans="7:7" ht="13">
      <c r="G775" s="29"/>
    </row>
    <row r="776" spans="7:7" ht="13">
      <c r="G776" s="29"/>
    </row>
    <row r="777" spans="7:7" ht="13">
      <c r="G777" s="29"/>
    </row>
    <row r="778" spans="7:7" ht="13">
      <c r="G778" s="29"/>
    </row>
    <row r="779" spans="7:7" ht="13">
      <c r="G779" s="29"/>
    </row>
    <row r="780" spans="7:7" ht="13">
      <c r="G780" s="29"/>
    </row>
    <row r="781" spans="7:7" ht="13">
      <c r="G781" s="29"/>
    </row>
    <row r="782" spans="7:7" ht="13">
      <c r="G782" s="29"/>
    </row>
    <row r="783" spans="7:7" ht="13">
      <c r="G783" s="29"/>
    </row>
    <row r="784" spans="7:7" ht="13">
      <c r="G784" s="29"/>
    </row>
    <row r="785" spans="7:7" ht="13">
      <c r="G785" s="29"/>
    </row>
    <row r="786" spans="7:7" ht="13">
      <c r="G786" s="29"/>
    </row>
    <row r="787" spans="7:7" ht="13">
      <c r="G787" s="29"/>
    </row>
    <row r="788" spans="7:7" ht="13">
      <c r="G788" s="29"/>
    </row>
    <row r="789" spans="7:7" ht="13">
      <c r="G789" s="29"/>
    </row>
    <row r="790" spans="7:7" ht="13">
      <c r="G790" s="29"/>
    </row>
    <row r="791" spans="7:7" ht="13">
      <c r="G791" s="29"/>
    </row>
    <row r="792" spans="7:7" ht="13">
      <c r="G792" s="29"/>
    </row>
    <row r="793" spans="7:7" ht="13">
      <c r="G793" s="29"/>
    </row>
    <row r="794" spans="7:7" ht="13">
      <c r="G794" s="29"/>
    </row>
    <row r="795" spans="7:7" ht="13">
      <c r="G795" s="29"/>
    </row>
    <row r="796" spans="7:7" ht="13">
      <c r="G796" s="29"/>
    </row>
    <row r="797" spans="7:7" ht="13">
      <c r="G797" s="29"/>
    </row>
    <row r="798" spans="7:7" ht="13">
      <c r="G798" s="29"/>
    </row>
    <row r="799" spans="7:7" ht="13">
      <c r="G799" s="29"/>
    </row>
    <row r="800" spans="7:7" ht="13">
      <c r="G800" s="29"/>
    </row>
    <row r="801" spans="7:7" ht="13">
      <c r="G801" s="29"/>
    </row>
    <row r="802" spans="7:7" ht="13">
      <c r="G802" s="29"/>
    </row>
    <row r="803" spans="7:7" ht="13">
      <c r="G803" s="29"/>
    </row>
    <row r="804" spans="7:7" ht="13">
      <c r="G804" s="29"/>
    </row>
    <row r="805" spans="7:7" ht="13">
      <c r="G805" s="29"/>
    </row>
    <row r="806" spans="7:7" ht="13">
      <c r="G806" s="29"/>
    </row>
    <row r="807" spans="7:7" ht="13">
      <c r="G807" s="29"/>
    </row>
    <row r="808" spans="7:7" ht="13">
      <c r="G808" s="29"/>
    </row>
    <row r="809" spans="7:7" ht="13">
      <c r="G809" s="29"/>
    </row>
    <row r="810" spans="7:7" ht="13">
      <c r="G810" s="29"/>
    </row>
    <row r="811" spans="7:7" ht="13">
      <c r="G811" s="29"/>
    </row>
    <row r="812" spans="7:7" ht="13">
      <c r="G812" s="29"/>
    </row>
    <row r="813" spans="7:7" ht="13">
      <c r="G813" s="29"/>
    </row>
    <row r="814" spans="7:7" ht="13">
      <c r="G814" s="29"/>
    </row>
    <row r="815" spans="7:7" ht="13">
      <c r="G815" s="29"/>
    </row>
    <row r="816" spans="7:7" ht="13">
      <c r="G816" s="29"/>
    </row>
    <row r="817" spans="7:7" ht="13">
      <c r="G817" s="29"/>
    </row>
    <row r="818" spans="7:7" ht="13">
      <c r="G818" s="29"/>
    </row>
    <row r="819" spans="7:7" ht="13">
      <c r="G819" s="29"/>
    </row>
    <row r="820" spans="7:7" ht="13">
      <c r="G820" s="29"/>
    </row>
    <row r="821" spans="7:7" ht="13">
      <c r="G821" s="29"/>
    </row>
    <row r="822" spans="7:7" ht="13">
      <c r="G822" s="29"/>
    </row>
    <row r="823" spans="7:7" ht="13">
      <c r="G823" s="29"/>
    </row>
    <row r="824" spans="7:7" ht="13">
      <c r="G824" s="29"/>
    </row>
    <row r="825" spans="7:7" ht="13">
      <c r="G825" s="29"/>
    </row>
    <row r="826" spans="7:7" ht="13">
      <c r="G826" s="29"/>
    </row>
    <row r="827" spans="7:7" ht="13">
      <c r="G827" s="29"/>
    </row>
    <row r="828" spans="7:7" ht="13">
      <c r="G828" s="29"/>
    </row>
    <row r="829" spans="7:7" ht="13">
      <c r="G829" s="29"/>
    </row>
    <row r="830" spans="7:7" ht="13">
      <c r="G830" s="29"/>
    </row>
    <row r="831" spans="7:7" ht="13">
      <c r="G831" s="29"/>
    </row>
    <row r="832" spans="7:7" ht="13">
      <c r="G832" s="29"/>
    </row>
    <row r="833" spans="7:7" ht="13">
      <c r="G833" s="29"/>
    </row>
    <row r="834" spans="7:7" ht="13">
      <c r="G834" s="29"/>
    </row>
    <row r="835" spans="7:7" ht="13">
      <c r="G835" s="29"/>
    </row>
    <row r="836" spans="7:7" ht="13">
      <c r="G836" s="29"/>
    </row>
    <row r="837" spans="7:7" ht="13">
      <c r="G837" s="29"/>
    </row>
    <row r="838" spans="7:7" ht="13">
      <c r="G838" s="29"/>
    </row>
    <row r="839" spans="7:7" ht="13">
      <c r="G839" s="29"/>
    </row>
    <row r="840" spans="7:7" ht="13">
      <c r="G840" s="29"/>
    </row>
    <row r="841" spans="7:7" ht="13">
      <c r="G841" s="29"/>
    </row>
    <row r="842" spans="7:7" ht="13">
      <c r="G842" s="29"/>
    </row>
    <row r="843" spans="7:7" ht="13">
      <c r="G843" s="29"/>
    </row>
    <row r="844" spans="7:7" ht="13">
      <c r="G844" s="29"/>
    </row>
    <row r="845" spans="7:7" ht="13">
      <c r="G845" s="29"/>
    </row>
    <row r="846" spans="7:7" ht="13">
      <c r="G846" s="29"/>
    </row>
    <row r="847" spans="7:7" ht="13">
      <c r="G847" s="29"/>
    </row>
    <row r="848" spans="7:7" ht="13">
      <c r="G848" s="29"/>
    </row>
    <row r="849" spans="7:7" ht="13">
      <c r="G849" s="29"/>
    </row>
    <row r="850" spans="7:7" ht="13">
      <c r="G850" s="29"/>
    </row>
    <row r="851" spans="7:7" ht="13">
      <c r="G851" s="29"/>
    </row>
    <row r="852" spans="7:7" ht="13">
      <c r="G852" s="29"/>
    </row>
    <row r="853" spans="7:7" ht="13">
      <c r="G853" s="29"/>
    </row>
    <row r="854" spans="7:7" ht="13">
      <c r="G854" s="29"/>
    </row>
    <row r="855" spans="7:7" ht="13">
      <c r="G855" s="29"/>
    </row>
    <row r="856" spans="7:7" ht="13">
      <c r="G856" s="29"/>
    </row>
    <row r="857" spans="7:7" ht="13">
      <c r="G857" s="29"/>
    </row>
    <row r="858" spans="7:7" ht="13">
      <c r="G858" s="29"/>
    </row>
    <row r="859" spans="7:7" ht="13">
      <c r="G859" s="29"/>
    </row>
    <row r="860" spans="7:7" ht="13">
      <c r="G860" s="29"/>
    </row>
    <row r="861" spans="7:7" ht="13">
      <c r="G861" s="29"/>
    </row>
    <row r="862" spans="7:7" ht="13">
      <c r="G862" s="29"/>
    </row>
    <row r="863" spans="7:7" ht="13">
      <c r="G863" s="29"/>
    </row>
    <row r="864" spans="7:7" ht="13">
      <c r="G864" s="29"/>
    </row>
    <row r="865" spans="7:7" ht="13">
      <c r="G865" s="29"/>
    </row>
    <row r="866" spans="7:7" ht="13">
      <c r="G866" s="29"/>
    </row>
    <row r="867" spans="7:7" ht="13">
      <c r="G867" s="29"/>
    </row>
    <row r="868" spans="7:7" ht="13">
      <c r="G868" s="29"/>
    </row>
    <row r="869" spans="7:7" ht="13">
      <c r="G869" s="29"/>
    </row>
    <row r="870" spans="7:7" ht="13">
      <c r="G870" s="29"/>
    </row>
    <row r="871" spans="7:7" ht="13">
      <c r="G871" s="29"/>
    </row>
    <row r="872" spans="7:7" ht="13">
      <c r="G872" s="29"/>
    </row>
    <row r="873" spans="7:7" ht="13">
      <c r="G873" s="29"/>
    </row>
    <row r="874" spans="7:7" ht="13">
      <c r="G874" s="29"/>
    </row>
    <row r="875" spans="7:7" ht="13">
      <c r="G875" s="29"/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6" r:id="rId24" xr:uid="{00000000-0004-0000-0000-000017000000}"/>
    <hyperlink ref="K27" r:id="rId25" xr:uid="{00000000-0004-0000-0000-000018000000}"/>
    <hyperlink ref="K28" r:id="rId26" xr:uid="{00000000-0004-0000-0000-000019000000}"/>
    <hyperlink ref="K29" r:id="rId27" xr:uid="{00000000-0004-0000-0000-00001A000000}"/>
    <hyperlink ref="J30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J35" r:id="rId34" xr:uid="{00000000-0004-0000-0000-000021000000}"/>
    <hyperlink ref="K35" r:id="rId35" xr:uid="{00000000-0004-0000-0000-000022000000}"/>
    <hyperlink ref="J36" r:id="rId36" xr:uid="{00000000-0004-0000-0000-000023000000}"/>
    <hyperlink ref="K36" r:id="rId37" xr:uid="{00000000-0004-0000-0000-000024000000}"/>
    <hyperlink ref="K37" r:id="rId38" xr:uid="{00000000-0004-0000-0000-000025000000}"/>
    <hyperlink ref="J38" r:id="rId39" xr:uid="{00000000-0004-0000-0000-000026000000}"/>
    <hyperlink ref="K38" r:id="rId40" xr:uid="{00000000-0004-0000-0000-000027000000}"/>
    <hyperlink ref="K39" r:id="rId41" xr:uid="{00000000-0004-0000-0000-000028000000}"/>
    <hyperlink ref="K40" r:id="rId42" xr:uid="{00000000-0004-0000-0000-000029000000}"/>
    <hyperlink ref="K41" r:id="rId43" xr:uid="{00000000-0004-0000-0000-00002A000000}"/>
    <hyperlink ref="K42" r:id="rId44" xr:uid="{00000000-0004-0000-0000-00002B000000}"/>
    <hyperlink ref="K43" r:id="rId45" xr:uid="{00000000-0004-0000-0000-00002C000000}"/>
    <hyperlink ref="K44" r:id="rId46" xr:uid="{00000000-0004-0000-0000-00002D000000}"/>
    <hyperlink ref="K45" r:id="rId47" xr:uid="{00000000-0004-0000-0000-00002E000000}"/>
    <hyperlink ref="K46" r:id="rId48" xr:uid="{00000000-0004-0000-0000-00002F000000}"/>
    <hyperlink ref="K47" r:id="rId49" xr:uid="{00000000-0004-0000-0000-000030000000}"/>
    <hyperlink ref="K48" r:id="rId50" xr:uid="{00000000-0004-0000-0000-000031000000}"/>
    <hyperlink ref="K49" r:id="rId51" xr:uid="{00000000-0004-0000-0000-000032000000}"/>
    <hyperlink ref="K50" r:id="rId52" xr:uid="{00000000-0004-0000-0000-000033000000}"/>
    <hyperlink ref="K51" r:id="rId53" xr:uid="{00000000-0004-0000-0000-000034000000}"/>
    <hyperlink ref="J54" r:id="rId54" xr:uid="{00000000-0004-0000-0000-000035000000}"/>
    <hyperlink ref="K54" r:id="rId55" xr:uid="{00000000-0004-0000-0000-000036000000}"/>
    <hyperlink ref="K55" r:id="rId56" xr:uid="{00000000-0004-0000-0000-000037000000}"/>
    <hyperlink ref="K57" r:id="rId57" xr:uid="{00000000-0004-0000-0000-000038000000}"/>
    <hyperlink ref="K58" r:id="rId58" xr:uid="{00000000-0004-0000-0000-000039000000}"/>
    <hyperlink ref="K59" r:id="rId59" xr:uid="{00000000-0004-0000-0000-00003A000000}"/>
    <hyperlink ref="K60" r:id="rId60" xr:uid="{00000000-0004-0000-0000-00003B000000}"/>
    <hyperlink ref="K61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1" r:id="rId69" xr:uid="{00000000-0004-0000-0000-000044000000}"/>
    <hyperlink ref="K72" r:id="rId70" xr:uid="{00000000-0004-0000-0000-000045000000}"/>
    <hyperlink ref="K73" r:id="rId71" xr:uid="{00000000-0004-0000-0000-000046000000}"/>
    <hyperlink ref="K74" r:id="rId72" xr:uid="{00000000-0004-0000-0000-000047000000}"/>
    <hyperlink ref="J75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3" r:id="rId81" xr:uid="{00000000-0004-0000-0000-000050000000}"/>
    <hyperlink ref="K84" r:id="rId82" xr:uid="{00000000-0004-0000-0000-000051000000}"/>
    <hyperlink ref="K85" r:id="rId83" xr:uid="{00000000-0004-0000-0000-000052000000}"/>
    <hyperlink ref="K86" r:id="rId84" xr:uid="{00000000-0004-0000-0000-000053000000}"/>
    <hyperlink ref="K87" r:id="rId85" xr:uid="{00000000-0004-0000-0000-000054000000}"/>
    <hyperlink ref="K88" r:id="rId86" xr:uid="{00000000-0004-0000-0000-000055000000}"/>
    <hyperlink ref="K89" r:id="rId87" xr:uid="{00000000-0004-0000-0000-000056000000}"/>
    <hyperlink ref="K90" r:id="rId88" xr:uid="{00000000-0004-0000-0000-000057000000}"/>
    <hyperlink ref="K91" r:id="rId89" xr:uid="{00000000-0004-0000-0000-000058000000}"/>
    <hyperlink ref="K93" r:id="rId90" xr:uid="{00000000-0004-0000-0000-000059000000}"/>
    <hyperlink ref="K94" r:id="rId91" xr:uid="{00000000-0004-0000-0000-00005A000000}"/>
    <hyperlink ref="K95" r:id="rId92" xr:uid="{00000000-0004-0000-0000-00005B000000}"/>
    <hyperlink ref="K96" r:id="rId93" xr:uid="{00000000-0004-0000-0000-00005C000000}"/>
    <hyperlink ref="K97" r:id="rId94" xr:uid="{00000000-0004-0000-0000-00005D000000}"/>
    <hyperlink ref="K98" r:id="rId95" xr:uid="{00000000-0004-0000-0000-00005E000000}"/>
    <hyperlink ref="J100" r:id="rId96" xr:uid="{00000000-0004-0000-0000-00005F000000}"/>
    <hyperlink ref="K100" r:id="rId97" xr:uid="{00000000-0004-0000-0000-000060000000}"/>
    <hyperlink ref="K103" r:id="rId98" xr:uid="{00000000-0004-0000-0000-000061000000}"/>
    <hyperlink ref="J104" r:id="rId99" xr:uid="{00000000-0004-0000-0000-000062000000}"/>
    <hyperlink ref="K104" r:id="rId100" xr:uid="{00000000-0004-0000-0000-000063000000}"/>
    <hyperlink ref="K105" r:id="rId101" xr:uid="{00000000-0004-0000-0000-000064000000}"/>
    <hyperlink ref="K106" r:id="rId102" xr:uid="{00000000-0004-0000-0000-000065000000}"/>
    <hyperlink ref="K108" r:id="rId103" xr:uid="{00000000-0004-0000-0000-000066000000}"/>
    <hyperlink ref="K109" r:id="rId104" xr:uid="{00000000-0004-0000-0000-000067000000}"/>
    <hyperlink ref="K110" r:id="rId105" xr:uid="{00000000-0004-0000-0000-000068000000}"/>
    <hyperlink ref="K111" r:id="rId106" xr:uid="{00000000-0004-0000-0000-000069000000}"/>
    <hyperlink ref="K112" r:id="rId107" xr:uid="{00000000-0004-0000-0000-00006A000000}"/>
    <hyperlink ref="K113" r:id="rId108" xr:uid="{00000000-0004-0000-0000-00006B000000}"/>
    <hyperlink ref="K114" r:id="rId109" xr:uid="{00000000-0004-0000-0000-00006C000000}"/>
    <hyperlink ref="K115" r:id="rId110" xr:uid="{00000000-0004-0000-0000-00006D000000}"/>
    <hyperlink ref="K116" r:id="rId111" xr:uid="{00000000-0004-0000-0000-00006E000000}"/>
    <hyperlink ref="K117" r:id="rId112" xr:uid="{00000000-0004-0000-0000-00006F000000}"/>
    <hyperlink ref="K118" r:id="rId113" xr:uid="{00000000-0004-0000-0000-000070000000}"/>
    <hyperlink ref="K119" r:id="rId114" xr:uid="{00000000-0004-0000-0000-000071000000}"/>
    <hyperlink ref="K124" r:id="rId115" xr:uid="{00000000-0004-0000-0000-000072000000}"/>
    <hyperlink ref="K126" r:id="rId116" xr:uid="{00000000-0004-0000-0000-000073000000}"/>
    <hyperlink ref="K129" r:id="rId117" xr:uid="{00000000-0004-0000-0000-000074000000}"/>
    <hyperlink ref="K131" r:id="rId118" xr:uid="{00000000-0004-0000-0000-000075000000}"/>
    <hyperlink ref="K132" r:id="rId119" xr:uid="{00000000-0004-0000-0000-000076000000}"/>
    <hyperlink ref="K136" r:id="rId120" xr:uid="{00000000-0004-0000-0000-000077000000}"/>
    <hyperlink ref="K144" r:id="rId121" xr:uid="{00000000-0004-0000-0000-000078000000}"/>
    <hyperlink ref="K148" r:id="rId122" xr:uid="{00000000-0004-0000-0000-000079000000}"/>
    <hyperlink ref="K149" r:id="rId123" xr:uid="{00000000-0004-0000-0000-00007A000000}"/>
    <hyperlink ref="K150" r:id="rId124" xr:uid="{00000000-0004-0000-0000-00007B000000}"/>
    <hyperlink ref="K151" r:id="rId125" xr:uid="{00000000-0004-0000-0000-00007C000000}"/>
    <hyperlink ref="K152" r:id="rId126" xr:uid="{00000000-0004-0000-0000-00007D000000}"/>
    <hyperlink ref="K153" r:id="rId127" xr:uid="{00000000-0004-0000-0000-00007E000000}"/>
    <hyperlink ref="K154" r:id="rId128" xr:uid="{00000000-0004-0000-0000-00007F000000}"/>
    <hyperlink ref="J155" r:id="rId129" xr:uid="{00000000-0004-0000-0000-000080000000}"/>
    <hyperlink ref="K155" r:id="rId130" xr:uid="{00000000-0004-0000-0000-000081000000}"/>
    <hyperlink ref="K156" r:id="rId131" xr:uid="{00000000-0004-0000-0000-000082000000}"/>
    <hyperlink ref="J157" r:id="rId132" xr:uid="{00000000-0004-0000-0000-000083000000}"/>
    <hyperlink ref="K157" r:id="rId133" xr:uid="{00000000-0004-0000-0000-000084000000}"/>
    <hyperlink ref="K159" r:id="rId134" xr:uid="{00000000-0004-0000-0000-000085000000}"/>
    <hyperlink ref="K160" r:id="rId135" xr:uid="{00000000-0004-0000-0000-000086000000}"/>
    <hyperlink ref="K161" r:id="rId136" xr:uid="{00000000-0004-0000-0000-000087000000}"/>
    <hyperlink ref="K164" r:id="rId137" xr:uid="{00000000-0004-0000-0000-000088000000}"/>
    <hyperlink ref="K167" r:id="rId138" xr:uid="{00000000-0004-0000-0000-000089000000}"/>
    <hyperlink ref="K170" r:id="rId139" xr:uid="{00000000-0004-0000-0000-00008A000000}"/>
    <hyperlink ref="K171" r:id="rId140" xr:uid="{00000000-0004-0000-0000-00008B000000}"/>
    <hyperlink ref="K172" r:id="rId141" xr:uid="{00000000-0004-0000-0000-00008C000000}"/>
    <hyperlink ref="K173" r:id="rId142" xr:uid="{00000000-0004-0000-0000-00008D000000}"/>
    <hyperlink ref="K174" r:id="rId143" xr:uid="{00000000-0004-0000-0000-00008E000000}"/>
    <hyperlink ref="J178" r:id="rId144" xr:uid="{00000000-0004-0000-0000-00008F000000}"/>
    <hyperlink ref="K178" r:id="rId145" xr:uid="{00000000-0004-0000-0000-000090000000}"/>
    <hyperlink ref="J179" r:id="rId146" xr:uid="{00000000-0004-0000-0000-000091000000}"/>
    <hyperlink ref="K179" r:id="rId147" xr:uid="{00000000-0004-0000-0000-000092000000}"/>
    <hyperlink ref="K181" r:id="rId148" xr:uid="{00000000-0004-0000-0000-000093000000}"/>
    <hyperlink ref="K182" r:id="rId149" xr:uid="{00000000-0004-0000-0000-000094000000}"/>
    <hyperlink ref="K183" r:id="rId150" xr:uid="{00000000-0004-0000-0000-000095000000}"/>
    <hyperlink ref="K184" r:id="rId151" xr:uid="{00000000-0004-0000-0000-000096000000}"/>
    <hyperlink ref="J185" r:id="rId152" xr:uid="{00000000-0004-0000-0000-000097000000}"/>
    <hyperlink ref="K185" r:id="rId153" xr:uid="{00000000-0004-0000-0000-000098000000}"/>
    <hyperlink ref="J186" r:id="rId154" xr:uid="{00000000-0004-0000-0000-000099000000}"/>
    <hyperlink ref="K186" r:id="rId155" xr:uid="{00000000-0004-0000-0000-00009A000000}"/>
    <hyperlink ref="J187" r:id="rId156" xr:uid="{00000000-0004-0000-0000-00009B000000}"/>
    <hyperlink ref="K188" r:id="rId157" xr:uid="{00000000-0004-0000-0000-00009C000000}"/>
    <hyperlink ref="K193" r:id="rId158" xr:uid="{00000000-0004-0000-0000-00009D000000}"/>
    <hyperlink ref="K194" r:id="rId159" xr:uid="{00000000-0004-0000-0000-00009E000000}"/>
    <hyperlink ref="K196" r:id="rId160" xr:uid="{00000000-0004-0000-0000-00009F000000}"/>
    <hyperlink ref="K199" r:id="rId161" xr:uid="{00000000-0004-0000-0000-0000A0000000}"/>
    <hyperlink ref="K200" r:id="rId162" xr:uid="{00000000-0004-0000-0000-0000A1000000}"/>
    <hyperlink ref="K201" r:id="rId163" xr:uid="{00000000-0004-0000-0000-0000A2000000}"/>
    <hyperlink ref="A207" r:id="rId164" xr:uid="{00000000-0004-0000-0000-0000A3000000}"/>
    <hyperlink ref="K207" r:id="rId165" xr:uid="{00000000-0004-0000-0000-0000A4000000}"/>
    <hyperlink ref="K208" r:id="rId166" xr:uid="{00000000-0004-0000-0000-0000A5000000}"/>
    <hyperlink ref="K209" r:id="rId167" xr:uid="{00000000-0004-0000-0000-0000A6000000}"/>
    <hyperlink ref="K210" r:id="rId168" xr:uid="{00000000-0004-0000-0000-0000A7000000}"/>
    <hyperlink ref="K211" r:id="rId169" xr:uid="{00000000-0004-0000-0000-0000A8000000}"/>
    <hyperlink ref="K212" r:id="rId170" xr:uid="{00000000-0004-0000-0000-0000A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82"/>
  <sheetViews>
    <sheetView workbookViewId="0">
      <pane ySplit="1" topLeftCell="A2" activePane="bottomLeft" state="frozen"/>
      <selection pane="bottomLeft" sqref="A1:L1"/>
    </sheetView>
  </sheetViews>
  <sheetFormatPr baseColWidth="10" defaultColWidth="12.6640625" defaultRowHeight="15.75" customHeight="1"/>
  <cols>
    <col min="1" max="1" width="19.1640625" customWidth="1"/>
    <col min="2" max="2" width="21.6640625" hidden="1" customWidth="1"/>
    <col min="3" max="3" width="18.5" hidden="1" customWidth="1"/>
    <col min="4" max="5" width="27.1640625" customWidth="1"/>
    <col min="6" max="6" width="14.1640625" customWidth="1"/>
    <col min="7" max="7" width="17.5" customWidth="1"/>
    <col min="8" max="8" width="22.83203125" customWidth="1"/>
    <col min="9" max="9" width="10.83203125" customWidth="1"/>
    <col min="11" max="11" width="26.1640625" customWidth="1"/>
  </cols>
  <sheetData>
    <row r="1" spans="1:30">
      <c r="A1" s="1" t="s">
        <v>1368</v>
      </c>
      <c r="B1" s="1" t="s">
        <v>1</v>
      </c>
      <c r="C1" s="1" t="s">
        <v>2</v>
      </c>
      <c r="D1" s="1" t="s">
        <v>1369</v>
      </c>
      <c r="E1" s="1" t="s">
        <v>3</v>
      </c>
      <c r="F1" s="1" t="s">
        <v>4</v>
      </c>
      <c r="G1" s="1" t="s">
        <v>5</v>
      </c>
      <c r="H1" s="3" t="s">
        <v>7</v>
      </c>
      <c r="I1" s="3" t="s">
        <v>8</v>
      </c>
      <c r="J1" s="3" t="s">
        <v>9</v>
      </c>
      <c r="K1" s="3" t="s">
        <v>10</v>
      </c>
      <c r="L1" s="30" t="s">
        <v>1370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0">
      <c r="A2" s="31" t="s">
        <v>1371</v>
      </c>
      <c r="B2" s="8"/>
      <c r="C2" s="8"/>
      <c r="D2" s="31" t="s">
        <v>1372</v>
      </c>
      <c r="E2" s="8" t="s">
        <v>1373</v>
      </c>
      <c r="F2" s="8" t="s">
        <v>1374</v>
      </c>
      <c r="G2" s="17" t="s">
        <v>1375</v>
      </c>
      <c r="H2" s="8" t="s">
        <v>204</v>
      </c>
      <c r="I2" s="8" t="s">
        <v>1376</v>
      </c>
      <c r="J2" s="8"/>
      <c r="K2" s="32" t="s">
        <v>1377</v>
      </c>
    </row>
    <row r="3" spans="1:30">
      <c r="A3" s="33" t="s">
        <v>1378</v>
      </c>
      <c r="B3" s="8"/>
      <c r="C3" s="8"/>
      <c r="D3" s="33" t="s">
        <v>1379</v>
      </c>
      <c r="E3" s="8" t="s">
        <v>1373</v>
      </c>
      <c r="F3" s="8" t="s">
        <v>1374</v>
      </c>
      <c r="G3" s="17" t="s">
        <v>1375</v>
      </c>
      <c r="H3" s="8" t="s">
        <v>204</v>
      </c>
      <c r="I3" s="8" t="s">
        <v>1376</v>
      </c>
      <c r="J3" s="8"/>
      <c r="K3" s="32" t="s">
        <v>1377</v>
      </c>
    </row>
    <row r="4" spans="1:30">
      <c r="A4" s="33" t="s">
        <v>1380</v>
      </c>
      <c r="B4" s="8"/>
      <c r="C4" s="8"/>
      <c r="D4" s="33" t="s">
        <v>1381</v>
      </c>
      <c r="E4" s="8" t="s">
        <v>1373</v>
      </c>
      <c r="F4" s="8" t="s">
        <v>1374</v>
      </c>
      <c r="G4" s="17" t="s">
        <v>1382</v>
      </c>
      <c r="H4" s="8" t="s">
        <v>204</v>
      </c>
      <c r="I4" s="8" t="s">
        <v>1376</v>
      </c>
      <c r="J4" s="8"/>
      <c r="K4" s="32" t="s">
        <v>1377</v>
      </c>
    </row>
    <row r="5" spans="1:30">
      <c r="A5" s="33" t="s">
        <v>1383</v>
      </c>
      <c r="B5" s="8"/>
      <c r="C5" s="8"/>
      <c r="D5" s="33" t="s">
        <v>1384</v>
      </c>
      <c r="E5" s="8" t="s">
        <v>1373</v>
      </c>
      <c r="F5" s="8" t="s">
        <v>1374</v>
      </c>
      <c r="G5" s="17" t="s">
        <v>1382</v>
      </c>
      <c r="H5" s="8" t="s">
        <v>204</v>
      </c>
      <c r="I5" s="8" t="s">
        <v>1376</v>
      </c>
      <c r="J5" s="8"/>
      <c r="K5" s="32" t="s">
        <v>1377</v>
      </c>
    </row>
    <row r="6" spans="1:30">
      <c r="A6" s="33" t="s">
        <v>1385</v>
      </c>
      <c r="B6" s="8"/>
      <c r="C6" s="8"/>
      <c r="D6" s="33" t="s">
        <v>1386</v>
      </c>
      <c r="E6" s="8" t="s">
        <v>1373</v>
      </c>
      <c r="F6" s="8" t="s">
        <v>1374</v>
      </c>
      <c r="G6" s="17" t="s">
        <v>1382</v>
      </c>
      <c r="H6" s="8" t="s">
        <v>204</v>
      </c>
      <c r="I6" s="8" t="s">
        <v>1376</v>
      </c>
      <c r="J6" s="8"/>
      <c r="K6" s="32" t="s">
        <v>1377</v>
      </c>
    </row>
    <row r="7" spans="1:30">
      <c r="A7" s="33" t="s">
        <v>1387</v>
      </c>
      <c r="B7" s="8"/>
      <c r="C7" s="8"/>
      <c r="D7" s="33" t="s">
        <v>1388</v>
      </c>
      <c r="E7" s="8" t="s">
        <v>1373</v>
      </c>
      <c r="F7" s="8" t="s">
        <v>1374</v>
      </c>
      <c r="G7" s="17" t="s">
        <v>1382</v>
      </c>
      <c r="H7" s="8" t="s">
        <v>204</v>
      </c>
      <c r="I7" s="8" t="s">
        <v>1376</v>
      </c>
      <c r="J7" s="8"/>
      <c r="K7" s="32" t="s">
        <v>1377</v>
      </c>
    </row>
    <row r="8" spans="1:30">
      <c r="A8" s="33" t="s">
        <v>1389</v>
      </c>
      <c r="B8" s="8"/>
      <c r="C8" s="8"/>
      <c r="D8" s="33" t="s">
        <v>1390</v>
      </c>
      <c r="E8" s="8" t="s">
        <v>1373</v>
      </c>
      <c r="F8" s="8" t="s">
        <v>1374</v>
      </c>
      <c r="G8" s="17" t="s">
        <v>1391</v>
      </c>
      <c r="H8" s="8" t="s">
        <v>204</v>
      </c>
      <c r="I8" s="8" t="s">
        <v>1376</v>
      </c>
      <c r="J8" s="8"/>
      <c r="K8" s="32" t="s">
        <v>1377</v>
      </c>
    </row>
    <row r="9" spans="1:30">
      <c r="A9" s="33" t="s">
        <v>1392</v>
      </c>
      <c r="B9" s="8"/>
      <c r="C9" s="8"/>
      <c r="D9" s="33" t="s">
        <v>1393</v>
      </c>
      <c r="E9" s="8" t="s">
        <v>1373</v>
      </c>
      <c r="F9" s="8" t="s">
        <v>1374</v>
      </c>
      <c r="G9" s="17" t="s">
        <v>1391</v>
      </c>
      <c r="H9" s="8" t="s">
        <v>204</v>
      </c>
      <c r="I9" s="8" t="s">
        <v>1376</v>
      </c>
      <c r="J9" s="8"/>
      <c r="K9" s="32" t="s">
        <v>1377</v>
      </c>
    </row>
    <row r="10" spans="1:30">
      <c r="A10" s="33" t="s">
        <v>1394</v>
      </c>
      <c r="B10" s="8"/>
      <c r="C10" s="8"/>
      <c r="D10" s="33" t="s">
        <v>1395</v>
      </c>
      <c r="E10" s="8" t="s">
        <v>1373</v>
      </c>
      <c r="F10" s="8" t="s">
        <v>1374</v>
      </c>
      <c r="G10" s="17" t="s">
        <v>1391</v>
      </c>
      <c r="H10" s="8" t="s">
        <v>204</v>
      </c>
      <c r="I10" s="8" t="s">
        <v>1376</v>
      </c>
      <c r="J10" s="8"/>
      <c r="K10" s="32" t="s">
        <v>1377</v>
      </c>
    </row>
    <row r="11" spans="1:30">
      <c r="A11" s="33" t="s">
        <v>1396</v>
      </c>
      <c r="B11" s="8"/>
      <c r="C11" s="8"/>
      <c r="D11" s="33" t="s">
        <v>1397</v>
      </c>
      <c r="E11" s="8" t="s">
        <v>1373</v>
      </c>
      <c r="F11" s="8" t="s">
        <v>1374</v>
      </c>
      <c r="G11" s="17" t="s">
        <v>1391</v>
      </c>
      <c r="H11" s="8" t="s">
        <v>204</v>
      </c>
      <c r="I11" s="8" t="s">
        <v>1376</v>
      </c>
      <c r="J11" s="8"/>
      <c r="K11" s="32" t="s">
        <v>1377</v>
      </c>
    </row>
    <row r="12" spans="1:30">
      <c r="A12" s="33" t="s">
        <v>1398</v>
      </c>
      <c r="B12" s="8"/>
      <c r="C12" s="8"/>
      <c r="D12" s="33" t="s">
        <v>1399</v>
      </c>
      <c r="E12" s="8" t="s">
        <v>1373</v>
      </c>
      <c r="F12" s="8" t="s">
        <v>1374</v>
      </c>
      <c r="G12" s="17" t="s">
        <v>1400</v>
      </c>
      <c r="H12" s="8" t="s">
        <v>204</v>
      </c>
      <c r="I12" s="8" t="s">
        <v>1376</v>
      </c>
      <c r="J12" s="8"/>
      <c r="K12" s="32" t="s">
        <v>1377</v>
      </c>
    </row>
    <row r="13" spans="1:30">
      <c r="A13" s="33" t="s">
        <v>1401</v>
      </c>
      <c r="B13" s="8"/>
      <c r="C13" s="8"/>
      <c r="D13" s="33" t="s">
        <v>1402</v>
      </c>
      <c r="E13" s="8" t="s">
        <v>1373</v>
      </c>
      <c r="F13" s="8" t="s">
        <v>1374</v>
      </c>
      <c r="G13" s="17" t="s">
        <v>1400</v>
      </c>
      <c r="H13" s="8" t="s">
        <v>204</v>
      </c>
      <c r="I13" s="8" t="s">
        <v>1376</v>
      </c>
      <c r="J13" s="8"/>
      <c r="K13" s="32" t="s">
        <v>1377</v>
      </c>
    </row>
    <row r="14" spans="1:30">
      <c r="A14" s="33" t="s">
        <v>1403</v>
      </c>
      <c r="B14" s="8"/>
      <c r="C14" s="8"/>
      <c r="D14" s="33" t="s">
        <v>1404</v>
      </c>
      <c r="E14" s="8" t="s">
        <v>1373</v>
      </c>
      <c r="F14" s="8" t="s">
        <v>1374</v>
      </c>
      <c r="G14" s="17" t="s">
        <v>1400</v>
      </c>
      <c r="H14" s="8" t="s">
        <v>204</v>
      </c>
      <c r="I14" s="8" t="s">
        <v>1376</v>
      </c>
      <c r="J14" s="8"/>
      <c r="K14" s="32" t="s">
        <v>1377</v>
      </c>
    </row>
    <row r="15" spans="1:30">
      <c r="A15" s="33" t="s">
        <v>1405</v>
      </c>
      <c r="B15" s="8"/>
      <c r="C15" s="8"/>
      <c r="D15" s="33" t="s">
        <v>1406</v>
      </c>
      <c r="E15" s="8" t="s">
        <v>1373</v>
      </c>
      <c r="F15" s="8" t="s">
        <v>1374</v>
      </c>
      <c r="G15" s="17" t="s">
        <v>1400</v>
      </c>
      <c r="H15" s="8" t="s">
        <v>204</v>
      </c>
      <c r="I15" s="8" t="s">
        <v>1376</v>
      </c>
      <c r="J15" s="8"/>
      <c r="K15" s="32" t="s">
        <v>1377</v>
      </c>
    </row>
    <row r="16" spans="1:30">
      <c r="A16" s="33" t="s">
        <v>1407</v>
      </c>
      <c r="B16" s="8"/>
      <c r="C16" s="8"/>
      <c r="D16" s="33" t="s">
        <v>1408</v>
      </c>
      <c r="E16" s="8" t="s">
        <v>1409</v>
      </c>
      <c r="F16" s="8" t="s">
        <v>1410</v>
      </c>
      <c r="G16" s="17" t="s">
        <v>1411</v>
      </c>
      <c r="H16" s="8" t="s">
        <v>204</v>
      </c>
      <c r="I16" s="8" t="s">
        <v>1376</v>
      </c>
      <c r="J16" s="8"/>
      <c r="K16" s="32" t="s">
        <v>1377</v>
      </c>
    </row>
    <row r="17" spans="1:11">
      <c r="A17" s="33" t="s">
        <v>1412</v>
      </c>
      <c r="B17" s="8"/>
      <c r="C17" s="8"/>
      <c r="D17" s="33" t="s">
        <v>1413</v>
      </c>
      <c r="E17" s="8" t="s">
        <v>1409</v>
      </c>
      <c r="F17" s="8" t="s">
        <v>1410</v>
      </c>
      <c r="G17" s="17" t="s">
        <v>1411</v>
      </c>
      <c r="H17" s="8" t="s">
        <v>204</v>
      </c>
      <c r="I17" s="8" t="s">
        <v>1376</v>
      </c>
      <c r="J17" s="8"/>
      <c r="K17" s="32" t="s">
        <v>1377</v>
      </c>
    </row>
    <row r="18" spans="1:11">
      <c r="A18" s="33" t="s">
        <v>1414</v>
      </c>
      <c r="B18" s="8"/>
      <c r="C18" s="8"/>
      <c r="D18" s="33" t="s">
        <v>1414</v>
      </c>
      <c r="E18" s="8" t="s">
        <v>1409</v>
      </c>
      <c r="F18" s="8" t="s">
        <v>1410</v>
      </c>
      <c r="G18" s="17" t="s">
        <v>1415</v>
      </c>
      <c r="H18" s="8" t="s">
        <v>204</v>
      </c>
      <c r="I18" s="8" t="s">
        <v>1376</v>
      </c>
      <c r="J18" s="8"/>
      <c r="K18" s="32" t="s">
        <v>1377</v>
      </c>
    </row>
    <row r="19" spans="1:11">
      <c r="A19" s="33" t="s">
        <v>1416</v>
      </c>
      <c r="B19" s="8"/>
      <c r="C19" s="8"/>
      <c r="D19" s="33" t="s">
        <v>1417</v>
      </c>
      <c r="E19" s="8" t="s">
        <v>1409</v>
      </c>
      <c r="F19" s="8" t="s">
        <v>1410</v>
      </c>
      <c r="G19" s="17" t="s">
        <v>1415</v>
      </c>
      <c r="H19" s="8" t="s">
        <v>204</v>
      </c>
      <c r="I19" s="8" t="s">
        <v>1376</v>
      </c>
      <c r="J19" s="8"/>
      <c r="K19" s="32" t="s">
        <v>1377</v>
      </c>
    </row>
    <row r="20" spans="1:11">
      <c r="A20" s="33" t="s">
        <v>1418</v>
      </c>
      <c r="B20" s="8"/>
      <c r="C20" s="8"/>
      <c r="D20" s="33" t="s">
        <v>1419</v>
      </c>
      <c r="E20" s="8" t="s">
        <v>1409</v>
      </c>
      <c r="F20" s="8" t="s">
        <v>1410</v>
      </c>
      <c r="G20" s="17" t="s">
        <v>1415</v>
      </c>
      <c r="H20" s="8" t="s">
        <v>204</v>
      </c>
      <c r="I20" s="8" t="s">
        <v>1376</v>
      </c>
      <c r="J20" s="8"/>
      <c r="K20" s="32" t="s">
        <v>1377</v>
      </c>
    </row>
    <row r="21" spans="1:11">
      <c r="A21" s="33" t="s">
        <v>1420</v>
      </c>
      <c r="B21" s="8"/>
      <c r="C21" s="8"/>
      <c r="D21" s="33" t="s">
        <v>1421</v>
      </c>
      <c r="E21" s="8" t="s">
        <v>1409</v>
      </c>
      <c r="F21" s="8" t="s">
        <v>1410</v>
      </c>
      <c r="G21" s="17" t="s">
        <v>1415</v>
      </c>
      <c r="H21" s="8" t="s">
        <v>204</v>
      </c>
      <c r="I21" s="8" t="s">
        <v>1376</v>
      </c>
      <c r="J21" s="8"/>
      <c r="K21" s="32" t="s">
        <v>1377</v>
      </c>
    </row>
    <row r="22" spans="1:11">
      <c r="A22" s="33" t="s">
        <v>1422</v>
      </c>
      <c r="B22" s="8"/>
      <c r="C22" s="8"/>
      <c r="D22" s="33" t="s">
        <v>1423</v>
      </c>
      <c r="E22" s="8" t="s">
        <v>1409</v>
      </c>
      <c r="F22" s="8" t="s">
        <v>1410</v>
      </c>
      <c r="G22" s="17" t="s">
        <v>1415</v>
      </c>
      <c r="H22" s="8" t="s">
        <v>204</v>
      </c>
      <c r="I22" s="8" t="s">
        <v>1376</v>
      </c>
      <c r="J22" s="8"/>
      <c r="K22" s="32" t="s">
        <v>1377</v>
      </c>
    </row>
    <row r="23" spans="1:11">
      <c r="A23" s="33" t="s">
        <v>1424</v>
      </c>
      <c r="B23" s="8"/>
      <c r="C23" s="8"/>
      <c r="D23" s="33" t="s">
        <v>1425</v>
      </c>
      <c r="E23" s="8" t="s">
        <v>1409</v>
      </c>
      <c r="F23" s="8" t="s">
        <v>1410</v>
      </c>
      <c r="G23" s="17" t="s">
        <v>1426</v>
      </c>
      <c r="H23" s="8" t="s">
        <v>204</v>
      </c>
      <c r="I23" s="8" t="s">
        <v>1376</v>
      </c>
      <c r="J23" s="8"/>
      <c r="K23" s="32" t="s">
        <v>1377</v>
      </c>
    </row>
    <row r="24" spans="1:11">
      <c r="A24" s="33" t="s">
        <v>1427</v>
      </c>
      <c r="B24" s="8"/>
      <c r="C24" s="8"/>
      <c r="D24" s="33" t="s">
        <v>1428</v>
      </c>
      <c r="E24" s="8" t="s">
        <v>1409</v>
      </c>
      <c r="F24" s="8" t="s">
        <v>1410</v>
      </c>
      <c r="G24" s="17" t="s">
        <v>1426</v>
      </c>
      <c r="H24" s="8" t="s">
        <v>204</v>
      </c>
      <c r="I24" s="8" t="s">
        <v>1376</v>
      </c>
      <c r="J24" s="8"/>
      <c r="K24" s="32" t="s">
        <v>1377</v>
      </c>
    </row>
    <row r="25" spans="1:11">
      <c r="A25" s="33" t="s">
        <v>1429</v>
      </c>
      <c r="B25" s="8"/>
      <c r="C25" s="8"/>
      <c r="D25" s="33" t="s">
        <v>1430</v>
      </c>
      <c r="E25" s="8" t="s">
        <v>1409</v>
      </c>
      <c r="F25" s="8" t="s">
        <v>1410</v>
      </c>
      <c r="G25" s="17" t="s">
        <v>1426</v>
      </c>
      <c r="H25" s="8" t="s">
        <v>204</v>
      </c>
      <c r="I25" s="8" t="s">
        <v>1376</v>
      </c>
      <c r="J25" s="8"/>
      <c r="K25" s="32" t="s">
        <v>1377</v>
      </c>
    </row>
    <row r="26" spans="1:11">
      <c r="A26" s="33" t="s">
        <v>1431</v>
      </c>
      <c r="B26" s="8"/>
      <c r="C26" s="8"/>
      <c r="D26" s="33" t="s">
        <v>1432</v>
      </c>
      <c r="E26" s="8" t="s">
        <v>1409</v>
      </c>
      <c r="F26" s="8" t="s">
        <v>1410</v>
      </c>
      <c r="G26" s="17" t="s">
        <v>1433</v>
      </c>
      <c r="H26" s="8" t="s">
        <v>204</v>
      </c>
      <c r="I26" s="8" t="s">
        <v>1376</v>
      </c>
      <c r="J26" s="8"/>
      <c r="K26" s="32" t="s">
        <v>1377</v>
      </c>
    </row>
    <row r="27" spans="1:11">
      <c r="A27" s="33" t="s">
        <v>1434</v>
      </c>
      <c r="B27" s="8"/>
      <c r="C27" s="8"/>
      <c r="D27" s="33" t="s">
        <v>1435</v>
      </c>
      <c r="E27" s="8" t="s">
        <v>1409</v>
      </c>
      <c r="F27" s="8" t="s">
        <v>1410</v>
      </c>
      <c r="G27" s="17" t="s">
        <v>1433</v>
      </c>
      <c r="H27" s="8" t="s">
        <v>204</v>
      </c>
      <c r="I27" s="8" t="s">
        <v>1376</v>
      </c>
      <c r="J27" s="8"/>
      <c r="K27" s="32" t="s">
        <v>1377</v>
      </c>
    </row>
    <row r="28" spans="1:11">
      <c r="A28" s="33" t="s">
        <v>1436</v>
      </c>
      <c r="B28" s="8"/>
      <c r="C28" s="8"/>
      <c r="D28" s="33" t="s">
        <v>1437</v>
      </c>
      <c r="E28" s="8" t="s">
        <v>1409</v>
      </c>
      <c r="F28" s="8" t="s">
        <v>1410</v>
      </c>
      <c r="G28" s="17" t="s">
        <v>1433</v>
      </c>
      <c r="H28" s="8" t="s">
        <v>204</v>
      </c>
      <c r="I28" s="8" t="s">
        <v>1376</v>
      </c>
      <c r="J28" s="8"/>
      <c r="K28" s="32" t="s">
        <v>1377</v>
      </c>
    </row>
    <row r="29" spans="1:11">
      <c r="A29" s="33" t="s">
        <v>1438</v>
      </c>
      <c r="B29" s="8"/>
      <c r="C29" s="8"/>
      <c r="D29" s="33" t="s">
        <v>1439</v>
      </c>
      <c r="E29" s="8" t="s">
        <v>1409</v>
      </c>
      <c r="F29" s="8" t="s">
        <v>1410</v>
      </c>
      <c r="G29" s="17" t="s">
        <v>1433</v>
      </c>
      <c r="H29" s="8" t="s">
        <v>204</v>
      </c>
      <c r="I29" s="8" t="s">
        <v>1376</v>
      </c>
      <c r="J29" s="8"/>
      <c r="K29" s="32" t="s">
        <v>1377</v>
      </c>
    </row>
    <row r="30" spans="1:11">
      <c r="A30" s="33" t="s">
        <v>1440</v>
      </c>
      <c r="B30" s="8"/>
      <c r="C30" s="8"/>
      <c r="D30" s="33" t="s">
        <v>1441</v>
      </c>
      <c r="E30" s="8" t="s">
        <v>1442</v>
      </c>
      <c r="F30" s="8" t="s">
        <v>1443</v>
      </c>
      <c r="G30" s="17" t="s">
        <v>1444</v>
      </c>
      <c r="H30" s="8" t="s">
        <v>204</v>
      </c>
      <c r="I30" s="8" t="s">
        <v>1376</v>
      </c>
      <c r="J30" s="8"/>
      <c r="K30" s="32" t="s">
        <v>1377</v>
      </c>
    </row>
    <row r="31" spans="1:11">
      <c r="A31" s="33" t="s">
        <v>1445</v>
      </c>
      <c r="B31" s="8"/>
      <c r="C31" s="8"/>
      <c r="D31" s="33" t="s">
        <v>1446</v>
      </c>
      <c r="E31" s="8" t="s">
        <v>1442</v>
      </c>
      <c r="F31" s="8" t="s">
        <v>1443</v>
      </c>
      <c r="G31" s="17" t="s">
        <v>1444</v>
      </c>
      <c r="H31" s="8" t="s">
        <v>204</v>
      </c>
      <c r="I31" s="8" t="s">
        <v>1376</v>
      </c>
      <c r="J31" s="8"/>
      <c r="K31" s="32" t="s">
        <v>1377</v>
      </c>
    </row>
    <row r="32" spans="1:11">
      <c r="A32" s="33" t="s">
        <v>1447</v>
      </c>
      <c r="B32" s="8"/>
      <c r="C32" s="8"/>
      <c r="D32" s="33" t="s">
        <v>1448</v>
      </c>
      <c r="E32" s="8" t="s">
        <v>1442</v>
      </c>
      <c r="F32" s="8" t="s">
        <v>1443</v>
      </c>
      <c r="G32" s="17" t="s">
        <v>1449</v>
      </c>
      <c r="H32" s="8" t="s">
        <v>204</v>
      </c>
      <c r="I32" s="8" t="s">
        <v>1376</v>
      </c>
      <c r="J32" s="8"/>
      <c r="K32" s="32" t="s">
        <v>1377</v>
      </c>
    </row>
    <row r="33" spans="1:12">
      <c r="A33" s="33" t="s">
        <v>1450</v>
      </c>
      <c r="B33" s="8"/>
      <c r="C33" s="8"/>
      <c r="D33" s="33" t="s">
        <v>1451</v>
      </c>
      <c r="E33" s="8" t="s">
        <v>1442</v>
      </c>
      <c r="F33" s="8" t="s">
        <v>1443</v>
      </c>
      <c r="G33" s="17" t="s">
        <v>1449</v>
      </c>
      <c r="H33" s="8" t="s">
        <v>204</v>
      </c>
      <c r="I33" s="8" t="s">
        <v>1376</v>
      </c>
      <c r="J33" s="8"/>
      <c r="K33" s="32" t="s">
        <v>1377</v>
      </c>
    </row>
    <row r="34" spans="1:12">
      <c r="A34" s="33" t="s">
        <v>1452</v>
      </c>
      <c r="B34" s="8"/>
      <c r="C34" s="8"/>
      <c r="D34" s="33" t="s">
        <v>1453</v>
      </c>
      <c r="E34" s="8" t="s">
        <v>1442</v>
      </c>
      <c r="F34" s="8" t="s">
        <v>1443</v>
      </c>
      <c r="G34" s="17" t="s">
        <v>1449</v>
      </c>
      <c r="H34" s="8" t="s">
        <v>204</v>
      </c>
      <c r="I34" s="8" t="s">
        <v>1376</v>
      </c>
      <c r="J34" s="8"/>
      <c r="K34" s="32" t="s">
        <v>1377</v>
      </c>
    </row>
    <row r="35" spans="1:12">
      <c r="A35" s="33" t="s">
        <v>1454</v>
      </c>
      <c r="B35" s="8"/>
      <c r="C35" s="8"/>
      <c r="D35" s="33" t="s">
        <v>1455</v>
      </c>
      <c r="E35" s="8" t="s">
        <v>1442</v>
      </c>
      <c r="F35" s="8" t="s">
        <v>1443</v>
      </c>
      <c r="G35" s="17" t="s">
        <v>1449</v>
      </c>
      <c r="H35" s="8" t="s">
        <v>204</v>
      </c>
      <c r="I35" s="8" t="s">
        <v>1376</v>
      </c>
      <c r="J35" s="8"/>
      <c r="K35" s="32" t="s">
        <v>1377</v>
      </c>
    </row>
    <row r="36" spans="1:12">
      <c r="A36" s="33" t="s">
        <v>1456</v>
      </c>
      <c r="B36" s="8"/>
      <c r="C36" s="8"/>
      <c r="D36" s="33" t="s">
        <v>1457</v>
      </c>
      <c r="E36" s="8" t="s">
        <v>1442</v>
      </c>
      <c r="F36" s="8" t="s">
        <v>1443</v>
      </c>
      <c r="G36" s="17" t="s">
        <v>1458</v>
      </c>
      <c r="H36" s="8" t="s">
        <v>204</v>
      </c>
      <c r="I36" s="8" t="s">
        <v>1376</v>
      </c>
      <c r="J36" s="8"/>
      <c r="K36" s="32" t="s">
        <v>1377</v>
      </c>
    </row>
    <row r="37" spans="1:12">
      <c r="A37" s="33" t="s">
        <v>1459</v>
      </c>
      <c r="B37" s="8"/>
      <c r="C37" s="8"/>
      <c r="D37" s="33" t="s">
        <v>1460</v>
      </c>
      <c r="E37" s="8" t="s">
        <v>1442</v>
      </c>
      <c r="F37" s="8" t="s">
        <v>1443</v>
      </c>
      <c r="G37" s="17" t="s">
        <v>1458</v>
      </c>
      <c r="H37" s="8" t="s">
        <v>204</v>
      </c>
      <c r="I37" s="8" t="s">
        <v>1376</v>
      </c>
      <c r="J37" s="8"/>
      <c r="K37" s="32" t="s">
        <v>1377</v>
      </c>
    </row>
    <row r="38" spans="1:12">
      <c r="A38" s="33" t="s">
        <v>1461</v>
      </c>
      <c r="B38" s="8"/>
      <c r="C38" s="8"/>
      <c r="D38" s="33" t="s">
        <v>1462</v>
      </c>
      <c r="E38" s="8" t="s">
        <v>1442</v>
      </c>
      <c r="F38" s="8" t="s">
        <v>1443</v>
      </c>
      <c r="G38" s="17" t="s">
        <v>1458</v>
      </c>
      <c r="H38" s="8" t="s">
        <v>204</v>
      </c>
      <c r="I38" s="8" t="s">
        <v>1376</v>
      </c>
      <c r="J38" s="8"/>
      <c r="K38" s="32" t="s">
        <v>1377</v>
      </c>
    </row>
    <row r="39" spans="1:12">
      <c r="A39" s="33" t="s">
        <v>1463</v>
      </c>
      <c r="B39" s="8"/>
      <c r="C39" s="8"/>
      <c r="D39" s="33" t="s">
        <v>1464</v>
      </c>
      <c r="E39" s="8" t="s">
        <v>1442</v>
      </c>
      <c r="F39" s="8" t="s">
        <v>1443</v>
      </c>
      <c r="G39" s="17" t="s">
        <v>1458</v>
      </c>
      <c r="H39" s="8" t="s">
        <v>204</v>
      </c>
      <c r="I39" s="8" t="s">
        <v>1376</v>
      </c>
      <c r="J39" s="8"/>
      <c r="K39" s="32" t="s">
        <v>1377</v>
      </c>
    </row>
    <row r="40" spans="1:12">
      <c r="A40" s="33" t="s">
        <v>1465</v>
      </c>
      <c r="B40" s="8"/>
      <c r="C40" s="8"/>
      <c r="D40" s="33" t="s">
        <v>1466</v>
      </c>
      <c r="E40" s="8" t="s">
        <v>1442</v>
      </c>
      <c r="F40" s="8" t="s">
        <v>1443</v>
      </c>
      <c r="G40" s="17" t="s">
        <v>1467</v>
      </c>
      <c r="H40" s="8" t="s">
        <v>204</v>
      </c>
      <c r="I40" s="8" t="s">
        <v>1376</v>
      </c>
      <c r="J40" s="8"/>
      <c r="K40" s="32" t="s">
        <v>1377</v>
      </c>
    </row>
    <row r="41" spans="1:12">
      <c r="A41" s="33" t="s">
        <v>1468</v>
      </c>
      <c r="B41" s="8"/>
      <c r="C41" s="8"/>
      <c r="D41" s="33" t="s">
        <v>1469</v>
      </c>
      <c r="E41" s="8" t="s">
        <v>1442</v>
      </c>
      <c r="F41" s="8" t="s">
        <v>1443</v>
      </c>
      <c r="G41" s="17" t="s">
        <v>1467</v>
      </c>
      <c r="H41" s="8" t="s">
        <v>204</v>
      </c>
      <c r="I41" s="8" t="s">
        <v>1376</v>
      </c>
      <c r="J41" s="8"/>
      <c r="K41" s="32" t="s">
        <v>1377</v>
      </c>
    </row>
    <row r="42" spans="1:12">
      <c r="A42" s="33" t="s">
        <v>1470</v>
      </c>
      <c r="B42" s="8"/>
      <c r="C42" s="8"/>
      <c r="D42" s="33" t="s">
        <v>1471</v>
      </c>
      <c r="E42" s="8" t="s">
        <v>1442</v>
      </c>
      <c r="F42" s="8" t="s">
        <v>1443</v>
      </c>
      <c r="G42" s="17" t="s">
        <v>1467</v>
      </c>
      <c r="H42" s="8" t="s">
        <v>204</v>
      </c>
      <c r="I42" s="8" t="s">
        <v>1376</v>
      </c>
      <c r="J42" s="8"/>
      <c r="K42" s="32" t="s">
        <v>1377</v>
      </c>
    </row>
    <row r="43" spans="1:12">
      <c r="A43" s="33" t="s">
        <v>1472</v>
      </c>
      <c r="B43" s="8"/>
      <c r="C43" s="8"/>
      <c r="D43" s="33" t="s">
        <v>1473</v>
      </c>
      <c r="E43" s="8" t="s">
        <v>1442</v>
      </c>
      <c r="F43" s="8" t="s">
        <v>1443</v>
      </c>
      <c r="G43" s="17" t="s">
        <v>1467</v>
      </c>
      <c r="H43" s="8" t="s">
        <v>204</v>
      </c>
      <c r="I43" s="8" t="s">
        <v>1376</v>
      </c>
      <c r="J43" s="8"/>
      <c r="K43" s="32" t="s">
        <v>1377</v>
      </c>
    </row>
    <row r="44" spans="1:12">
      <c r="A44" s="8" t="s">
        <v>1474</v>
      </c>
      <c r="B44" s="8"/>
      <c r="C44" s="8"/>
      <c r="D44" s="8" t="s">
        <v>1475</v>
      </c>
      <c r="E44" s="8" t="s">
        <v>1474</v>
      </c>
      <c r="F44" s="8" t="s">
        <v>1476</v>
      </c>
      <c r="G44" s="8"/>
      <c r="H44" s="8" t="s">
        <v>204</v>
      </c>
      <c r="I44" s="8" t="s">
        <v>1376</v>
      </c>
      <c r="J44" s="8"/>
      <c r="K44" s="34" t="s">
        <v>1477</v>
      </c>
    </row>
    <row r="45" spans="1:12">
      <c r="A45" s="33" t="s">
        <v>1478</v>
      </c>
      <c r="B45" s="8"/>
      <c r="C45" s="8"/>
      <c r="D45" s="33" t="s">
        <v>1479</v>
      </c>
      <c r="E45" s="8" t="s">
        <v>1480</v>
      </c>
      <c r="F45" s="8" t="s">
        <v>1481</v>
      </c>
      <c r="G45" s="17" t="s">
        <v>1482</v>
      </c>
      <c r="H45" s="8" t="s">
        <v>204</v>
      </c>
      <c r="I45" s="8" t="s">
        <v>1376</v>
      </c>
      <c r="J45" s="8"/>
      <c r="K45" s="35" t="s">
        <v>1483</v>
      </c>
      <c r="L45" s="36" t="s">
        <v>1484</v>
      </c>
    </row>
    <row r="46" spans="1:12">
      <c r="A46" s="33" t="s">
        <v>1485</v>
      </c>
      <c r="B46" s="8"/>
      <c r="C46" s="8"/>
      <c r="D46" s="33" t="s">
        <v>1486</v>
      </c>
      <c r="E46" s="8" t="s">
        <v>1480</v>
      </c>
      <c r="F46" s="8" t="s">
        <v>1481</v>
      </c>
      <c r="G46" s="17" t="s">
        <v>1482</v>
      </c>
      <c r="H46" s="8" t="s">
        <v>204</v>
      </c>
      <c r="I46" s="8" t="s">
        <v>1376</v>
      </c>
      <c r="J46" s="8"/>
      <c r="K46" s="35" t="s">
        <v>1483</v>
      </c>
      <c r="L46" s="36" t="s">
        <v>1487</v>
      </c>
    </row>
    <row r="47" spans="1:12">
      <c r="A47" s="33" t="s">
        <v>1488</v>
      </c>
      <c r="B47" s="8"/>
      <c r="C47" s="8"/>
      <c r="D47" s="33" t="s">
        <v>1489</v>
      </c>
      <c r="E47" s="8" t="s">
        <v>1480</v>
      </c>
      <c r="F47" s="8" t="s">
        <v>1481</v>
      </c>
      <c r="G47" s="17" t="s">
        <v>1482</v>
      </c>
      <c r="H47" s="8" t="s">
        <v>204</v>
      </c>
      <c r="I47" s="8" t="s">
        <v>1376</v>
      </c>
      <c r="J47" s="8"/>
      <c r="K47" s="35" t="s">
        <v>1483</v>
      </c>
      <c r="L47" s="36" t="s">
        <v>1490</v>
      </c>
    </row>
    <row r="48" spans="1:12">
      <c r="A48" s="33" t="s">
        <v>1491</v>
      </c>
      <c r="B48" s="8"/>
      <c r="C48" s="8"/>
      <c r="D48" s="33" t="s">
        <v>1492</v>
      </c>
      <c r="E48" s="8" t="s">
        <v>1480</v>
      </c>
      <c r="F48" s="8" t="s">
        <v>1481</v>
      </c>
      <c r="G48" s="17" t="s">
        <v>1482</v>
      </c>
      <c r="H48" s="8" t="s">
        <v>204</v>
      </c>
      <c r="I48" s="8" t="s">
        <v>1376</v>
      </c>
      <c r="J48" s="8"/>
      <c r="K48" s="35" t="s">
        <v>1483</v>
      </c>
      <c r="L48" s="36" t="s">
        <v>1490</v>
      </c>
    </row>
    <row r="49" spans="1:12">
      <c r="A49" s="33" t="s">
        <v>1493</v>
      </c>
      <c r="B49" s="8"/>
      <c r="C49" s="8"/>
      <c r="D49" s="33" t="s">
        <v>1494</v>
      </c>
      <c r="E49" s="8" t="s">
        <v>1480</v>
      </c>
      <c r="F49" s="8" t="s">
        <v>1481</v>
      </c>
      <c r="G49" s="17" t="s">
        <v>1482</v>
      </c>
      <c r="H49" s="8" t="s">
        <v>204</v>
      </c>
      <c r="I49" s="8" t="s">
        <v>1376</v>
      </c>
      <c r="J49" s="8"/>
      <c r="K49" s="35" t="s">
        <v>1483</v>
      </c>
      <c r="L49" s="36" t="s">
        <v>1495</v>
      </c>
    </row>
    <row r="50" spans="1:12">
      <c r="A50" s="33" t="s">
        <v>1496</v>
      </c>
      <c r="B50" s="8"/>
      <c r="C50" s="8"/>
      <c r="D50" s="33" t="s">
        <v>1497</v>
      </c>
      <c r="E50" s="8" t="s">
        <v>1480</v>
      </c>
      <c r="F50" s="8" t="s">
        <v>1481</v>
      </c>
      <c r="G50" s="17" t="s">
        <v>1482</v>
      </c>
      <c r="H50" s="8" t="s">
        <v>204</v>
      </c>
      <c r="I50" s="8" t="s">
        <v>1376</v>
      </c>
      <c r="J50" s="8"/>
      <c r="K50" s="35" t="s">
        <v>1483</v>
      </c>
      <c r="L50" s="36" t="s">
        <v>1498</v>
      </c>
    </row>
    <row r="51" spans="1:12">
      <c r="A51" s="33" t="s">
        <v>1499</v>
      </c>
      <c r="B51" s="8"/>
      <c r="C51" s="8"/>
      <c r="D51" s="33" t="s">
        <v>1500</v>
      </c>
      <c r="E51" s="8" t="s">
        <v>1480</v>
      </c>
      <c r="F51" s="8" t="s">
        <v>1481</v>
      </c>
      <c r="G51" s="17" t="s">
        <v>1482</v>
      </c>
      <c r="H51" s="8" t="s">
        <v>204</v>
      </c>
      <c r="I51" s="8" t="s">
        <v>1376</v>
      </c>
      <c r="J51" s="8"/>
      <c r="K51" s="35" t="s">
        <v>1483</v>
      </c>
      <c r="L51" s="36" t="s">
        <v>1498</v>
      </c>
    </row>
    <row r="52" spans="1:12">
      <c r="A52" s="33" t="s">
        <v>1501</v>
      </c>
      <c r="B52" s="8"/>
      <c r="C52" s="8"/>
      <c r="D52" s="33" t="s">
        <v>1502</v>
      </c>
      <c r="E52" s="8" t="s">
        <v>1480</v>
      </c>
      <c r="F52" s="8" t="s">
        <v>1481</v>
      </c>
      <c r="G52" s="17" t="s">
        <v>1482</v>
      </c>
      <c r="H52" s="8" t="s">
        <v>204</v>
      </c>
      <c r="I52" s="8" t="s">
        <v>1376</v>
      </c>
      <c r="J52" s="8"/>
      <c r="K52" s="35" t="s">
        <v>1483</v>
      </c>
      <c r="L52" s="36" t="s">
        <v>1503</v>
      </c>
    </row>
    <row r="53" spans="1:12">
      <c r="A53" s="33" t="s">
        <v>1504</v>
      </c>
      <c r="B53" s="8"/>
      <c r="C53" s="8"/>
      <c r="D53" s="33" t="s">
        <v>1505</v>
      </c>
      <c r="E53" s="8" t="s">
        <v>1480</v>
      </c>
      <c r="F53" s="8" t="s">
        <v>1481</v>
      </c>
      <c r="G53" s="17" t="s">
        <v>1482</v>
      </c>
      <c r="H53" s="8" t="s">
        <v>204</v>
      </c>
      <c r="I53" s="8" t="s">
        <v>1376</v>
      </c>
      <c r="J53" s="8"/>
      <c r="K53" s="35" t="s">
        <v>1483</v>
      </c>
      <c r="L53" s="36" t="s">
        <v>1506</v>
      </c>
    </row>
    <row r="54" spans="1:12">
      <c r="A54" s="8" t="s">
        <v>1507</v>
      </c>
      <c r="B54" s="8"/>
      <c r="C54" s="8"/>
      <c r="D54" s="8" t="s">
        <v>1508</v>
      </c>
      <c r="E54" s="8" t="s">
        <v>1507</v>
      </c>
      <c r="F54" s="8" t="s">
        <v>1509</v>
      </c>
      <c r="G54" s="8"/>
      <c r="H54" s="8" t="s">
        <v>204</v>
      </c>
      <c r="I54" s="8" t="s">
        <v>1376</v>
      </c>
      <c r="J54" s="8"/>
      <c r="K54" s="34" t="s">
        <v>1510</v>
      </c>
    </row>
    <row r="55" spans="1:12">
      <c r="A55" s="33" t="s">
        <v>1511</v>
      </c>
      <c r="B55" s="8"/>
      <c r="C55" s="8"/>
      <c r="D55" s="33" t="s">
        <v>1512</v>
      </c>
      <c r="E55" s="8" t="s">
        <v>1513</v>
      </c>
      <c r="F55" s="8" t="s">
        <v>1514</v>
      </c>
      <c r="G55" s="17"/>
      <c r="H55" s="8" t="s">
        <v>204</v>
      </c>
      <c r="I55" s="8" t="s">
        <v>1376</v>
      </c>
      <c r="J55" s="8"/>
      <c r="K55" s="34" t="s">
        <v>1515</v>
      </c>
    </row>
    <row r="56" spans="1:12">
      <c r="A56" s="33" t="s">
        <v>1516</v>
      </c>
      <c r="B56" s="8"/>
      <c r="C56" s="8"/>
      <c r="D56" s="33" t="s">
        <v>1517</v>
      </c>
      <c r="E56" s="8" t="s">
        <v>1513</v>
      </c>
      <c r="F56" s="8" t="s">
        <v>1514</v>
      </c>
      <c r="G56" s="8" t="s">
        <v>1518</v>
      </c>
      <c r="H56" s="8" t="s">
        <v>204</v>
      </c>
      <c r="I56" s="8" t="s">
        <v>1376</v>
      </c>
      <c r="J56" s="8"/>
      <c r="K56" s="34" t="s">
        <v>1519</v>
      </c>
    </row>
    <row r="57" spans="1:12">
      <c r="A57" s="8" t="s">
        <v>1520</v>
      </c>
      <c r="B57" s="8"/>
      <c r="C57" s="8"/>
      <c r="D57" s="8" t="s">
        <v>1521</v>
      </c>
      <c r="E57" s="8" t="s">
        <v>1520</v>
      </c>
      <c r="F57" s="8" t="s">
        <v>1522</v>
      </c>
      <c r="G57" s="17">
        <v>21300012</v>
      </c>
      <c r="H57" s="8" t="s">
        <v>204</v>
      </c>
      <c r="I57" s="8" t="s">
        <v>1376</v>
      </c>
      <c r="J57" s="8"/>
      <c r="K57" s="34" t="s">
        <v>1523</v>
      </c>
    </row>
    <row r="58" spans="1:12">
      <c r="A58" s="8" t="s">
        <v>1524</v>
      </c>
      <c r="B58" s="8"/>
      <c r="C58" s="8"/>
      <c r="D58" s="8" t="s">
        <v>1525</v>
      </c>
      <c r="E58" s="8" t="s">
        <v>1524</v>
      </c>
      <c r="F58" s="8" t="s">
        <v>1526</v>
      </c>
      <c r="G58" s="8"/>
      <c r="H58" s="8" t="s">
        <v>204</v>
      </c>
      <c r="I58" s="8" t="s">
        <v>1376</v>
      </c>
      <c r="J58" s="8"/>
      <c r="K58" s="32" t="s">
        <v>1527</v>
      </c>
    </row>
    <row r="59" spans="1:12">
      <c r="A59" s="33" t="s">
        <v>1528</v>
      </c>
      <c r="B59" s="8"/>
      <c r="C59" s="8"/>
      <c r="D59" s="33" t="s">
        <v>1529</v>
      </c>
      <c r="E59" s="8" t="s">
        <v>1530</v>
      </c>
      <c r="F59" s="8" t="s">
        <v>1531</v>
      </c>
      <c r="G59" s="17" t="s">
        <v>1532</v>
      </c>
      <c r="H59" s="8" t="s">
        <v>1533</v>
      </c>
      <c r="I59" s="8" t="s">
        <v>1376</v>
      </c>
      <c r="J59" s="8"/>
      <c r="K59" s="35" t="s">
        <v>1534</v>
      </c>
    </row>
    <row r="60" spans="1:12">
      <c r="A60" s="33" t="s">
        <v>1535</v>
      </c>
      <c r="B60" s="8"/>
      <c r="C60" s="8"/>
      <c r="D60" s="33" t="s">
        <v>1536</v>
      </c>
      <c r="E60" s="8" t="s">
        <v>1530</v>
      </c>
      <c r="F60" s="8" t="s">
        <v>1531</v>
      </c>
      <c r="G60" s="17" t="s">
        <v>1537</v>
      </c>
      <c r="H60" s="8" t="s">
        <v>1533</v>
      </c>
      <c r="I60" s="8" t="s">
        <v>1376</v>
      </c>
      <c r="J60" s="8"/>
      <c r="K60" s="35" t="s">
        <v>1534</v>
      </c>
    </row>
    <row r="61" spans="1:12">
      <c r="A61" s="33" t="s">
        <v>1538</v>
      </c>
      <c r="B61" s="8"/>
      <c r="C61" s="8"/>
      <c r="D61" s="33" t="s">
        <v>1539</v>
      </c>
      <c r="E61" s="8" t="s">
        <v>1530</v>
      </c>
      <c r="F61" s="8" t="s">
        <v>1531</v>
      </c>
      <c r="G61" s="17" t="s">
        <v>1540</v>
      </c>
      <c r="H61" s="8" t="s">
        <v>1533</v>
      </c>
      <c r="I61" s="8" t="s">
        <v>1376</v>
      </c>
      <c r="J61" s="8"/>
      <c r="K61" s="35" t="s">
        <v>1534</v>
      </c>
    </row>
    <row r="62" spans="1:12">
      <c r="A62" s="33" t="s">
        <v>1541</v>
      </c>
      <c r="B62" s="8"/>
      <c r="C62" s="8"/>
      <c r="D62" s="33" t="s">
        <v>1542</v>
      </c>
      <c r="E62" s="8" t="s">
        <v>1543</v>
      </c>
      <c r="F62" s="8" t="s">
        <v>1544</v>
      </c>
      <c r="G62" s="17" t="s">
        <v>1545</v>
      </c>
      <c r="H62" s="8" t="s">
        <v>204</v>
      </c>
      <c r="I62" s="8" t="s">
        <v>1376</v>
      </c>
      <c r="J62" s="8"/>
      <c r="K62" s="35" t="s">
        <v>1534</v>
      </c>
    </row>
    <row r="63" spans="1:12">
      <c r="A63" s="33" t="s">
        <v>1546</v>
      </c>
      <c r="B63" s="8"/>
      <c r="C63" s="8"/>
      <c r="D63" s="33" t="s">
        <v>1547</v>
      </c>
      <c r="E63" s="8" t="s">
        <v>1543</v>
      </c>
      <c r="F63" s="8" t="s">
        <v>1544</v>
      </c>
      <c r="G63" s="17" t="s">
        <v>1548</v>
      </c>
      <c r="H63" s="8" t="s">
        <v>204</v>
      </c>
      <c r="I63" s="8" t="s">
        <v>1376</v>
      </c>
      <c r="J63" s="8"/>
      <c r="K63" s="35" t="s">
        <v>1534</v>
      </c>
    </row>
    <row r="64" spans="1:12">
      <c r="A64" s="33" t="s">
        <v>1549</v>
      </c>
      <c r="B64" s="8"/>
      <c r="C64" s="8"/>
      <c r="D64" s="33" t="s">
        <v>1550</v>
      </c>
      <c r="E64" s="8" t="s">
        <v>1543</v>
      </c>
      <c r="F64" s="8" t="s">
        <v>1544</v>
      </c>
      <c r="G64" s="17" t="s">
        <v>1551</v>
      </c>
      <c r="H64" s="8" t="s">
        <v>204</v>
      </c>
      <c r="I64" s="8" t="s">
        <v>1376</v>
      </c>
      <c r="J64" s="8"/>
      <c r="K64" s="35" t="s">
        <v>1534</v>
      </c>
    </row>
    <row r="65" spans="1:11">
      <c r="A65" s="33" t="s">
        <v>1552</v>
      </c>
      <c r="B65" s="8"/>
      <c r="C65" s="8"/>
      <c r="D65" s="33" t="s">
        <v>1553</v>
      </c>
      <c r="E65" s="8" t="s">
        <v>1554</v>
      </c>
      <c r="F65" s="8" t="s">
        <v>1555</v>
      </c>
      <c r="G65" s="17" t="s">
        <v>1556</v>
      </c>
      <c r="H65" s="8" t="s">
        <v>204</v>
      </c>
      <c r="I65" s="8" t="s">
        <v>1376</v>
      </c>
      <c r="J65" s="8"/>
      <c r="K65" s="35" t="s">
        <v>1534</v>
      </c>
    </row>
    <row r="66" spans="1:11">
      <c r="A66" s="33" t="s">
        <v>1557</v>
      </c>
      <c r="B66" s="8"/>
      <c r="C66" s="8"/>
      <c r="D66" s="33" t="s">
        <v>1558</v>
      </c>
      <c r="E66" s="8" t="s">
        <v>1554</v>
      </c>
      <c r="F66" s="8" t="s">
        <v>1555</v>
      </c>
      <c r="G66" s="17" t="s">
        <v>1559</v>
      </c>
      <c r="H66" s="8" t="s">
        <v>204</v>
      </c>
      <c r="I66" s="8" t="s">
        <v>1376</v>
      </c>
      <c r="J66" s="8"/>
      <c r="K66" s="35" t="s">
        <v>1534</v>
      </c>
    </row>
    <row r="67" spans="1:11">
      <c r="A67" s="33" t="s">
        <v>1560</v>
      </c>
      <c r="B67" s="8"/>
      <c r="C67" s="8"/>
      <c r="D67" s="33" t="s">
        <v>1561</v>
      </c>
      <c r="E67" s="8" t="s">
        <v>1562</v>
      </c>
      <c r="F67" s="8" t="s">
        <v>1563</v>
      </c>
      <c r="G67" s="17" t="s">
        <v>1564</v>
      </c>
      <c r="H67" s="8" t="s">
        <v>204</v>
      </c>
      <c r="I67" s="8" t="s">
        <v>1376</v>
      </c>
      <c r="J67" s="8"/>
      <c r="K67" s="35" t="s">
        <v>1534</v>
      </c>
    </row>
    <row r="68" spans="1:11">
      <c r="A68" s="33" t="s">
        <v>1565</v>
      </c>
      <c r="B68" s="8"/>
      <c r="C68" s="8"/>
      <c r="D68" s="33" t="s">
        <v>1566</v>
      </c>
      <c r="E68" s="8" t="s">
        <v>1562</v>
      </c>
      <c r="F68" s="8" t="s">
        <v>1563</v>
      </c>
      <c r="G68" s="17" t="s">
        <v>1567</v>
      </c>
      <c r="H68" s="8" t="s">
        <v>204</v>
      </c>
      <c r="I68" s="8" t="s">
        <v>1376</v>
      </c>
      <c r="J68" s="8"/>
      <c r="K68" s="35" t="s">
        <v>1534</v>
      </c>
    </row>
    <row r="69" spans="1:11">
      <c r="A69" s="33" t="s">
        <v>1568</v>
      </c>
      <c r="B69" s="8"/>
      <c r="C69" s="8"/>
      <c r="D69" s="33" t="s">
        <v>1569</v>
      </c>
      <c r="E69" s="8" t="s">
        <v>1562</v>
      </c>
      <c r="F69" s="8" t="s">
        <v>1563</v>
      </c>
      <c r="G69" s="17" t="s">
        <v>1570</v>
      </c>
      <c r="H69" s="8" t="s">
        <v>204</v>
      </c>
      <c r="I69" s="8" t="s">
        <v>1376</v>
      </c>
      <c r="J69" s="8"/>
      <c r="K69" s="35" t="s">
        <v>1534</v>
      </c>
    </row>
    <row r="70" spans="1:11">
      <c r="A70" s="33" t="s">
        <v>1571</v>
      </c>
      <c r="B70" s="8"/>
      <c r="C70" s="8"/>
      <c r="D70" s="33" t="s">
        <v>1572</v>
      </c>
      <c r="E70" s="8" t="s">
        <v>1562</v>
      </c>
      <c r="F70" s="8" t="s">
        <v>1563</v>
      </c>
      <c r="G70" s="17" t="s">
        <v>1573</v>
      </c>
      <c r="H70" s="8" t="s">
        <v>204</v>
      </c>
      <c r="I70" s="8" t="s">
        <v>1376</v>
      </c>
      <c r="J70" s="8"/>
      <c r="K70" s="35" t="s">
        <v>1534</v>
      </c>
    </row>
    <row r="71" spans="1:11">
      <c r="A71" s="33" t="s">
        <v>1574</v>
      </c>
      <c r="B71" s="8"/>
      <c r="C71" s="8"/>
      <c r="D71" s="33" t="s">
        <v>1575</v>
      </c>
      <c r="E71" s="8" t="s">
        <v>1562</v>
      </c>
      <c r="F71" s="8" t="s">
        <v>1563</v>
      </c>
      <c r="G71" s="17" t="s">
        <v>1576</v>
      </c>
      <c r="H71" s="8" t="s">
        <v>204</v>
      </c>
      <c r="I71" s="8" t="s">
        <v>1376</v>
      </c>
      <c r="J71" s="8"/>
      <c r="K71" s="35" t="s">
        <v>1534</v>
      </c>
    </row>
    <row r="72" spans="1:11">
      <c r="A72" s="33" t="s">
        <v>1577</v>
      </c>
      <c r="B72" s="8"/>
      <c r="C72" s="8"/>
      <c r="D72" s="33" t="s">
        <v>1578</v>
      </c>
      <c r="E72" s="8" t="s">
        <v>1579</v>
      </c>
      <c r="F72" s="8" t="s">
        <v>1580</v>
      </c>
      <c r="G72" s="17" t="s">
        <v>1581</v>
      </c>
      <c r="H72" s="8" t="s">
        <v>204</v>
      </c>
      <c r="I72" s="8" t="s">
        <v>1376</v>
      </c>
      <c r="J72" s="8"/>
      <c r="K72" s="35" t="s">
        <v>1534</v>
      </c>
    </row>
    <row r="73" spans="1:11">
      <c r="A73" s="33" t="s">
        <v>1582</v>
      </c>
      <c r="B73" s="8"/>
      <c r="C73" s="8"/>
      <c r="D73" s="33" t="s">
        <v>1583</v>
      </c>
      <c r="E73" s="8" t="s">
        <v>1579</v>
      </c>
      <c r="F73" s="8" t="s">
        <v>1580</v>
      </c>
      <c r="G73" s="17" t="s">
        <v>1584</v>
      </c>
      <c r="H73" s="8" t="s">
        <v>204</v>
      </c>
      <c r="I73" s="8" t="s">
        <v>1376</v>
      </c>
      <c r="J73" s="8"/>
      <c r="K73" s="35" t="s">
        <v>1534</v>
      </c>
    </row>
    <row r="74" spans="1:11">
      <c r="A74" s="33" t="s">
        <v>1585</v>
      </c>
      <c r="B74" s="8"/>
      <c r="C74" s="8"/>
      <c r="D74" s="33" t="s">
        <v>1586</v>
      </c>
      <c r="E74" s="8" t="s">
        <v>1579</v>
      </c>
      <c r="F74" s="8" t="s">
        <v>1580</v>
      </c>
      <c r="G74" s="17" t="s">
        <v>1587</v>
      </c>
      <c r="H74" s="8" t="s">
        <v>204</v>
      </c>
      <c r="I74" s="8" t="s">
        <v>1376</v>
      </c>
      <c r="J74" s="8"/>
      <c r="K74" s="35" t="s">
        <v>1534</v>
      </c>
    </row>
    <row r="75" spans="1:11">
      <c r="A75" s="33" t="s">
        <v>1588</v>
      </c>
      <c r="B75" s="8"/>
      <c r="C75" s="8"/>
      <c r="D75" s="33" t="s">
        <v>1589</v>
      </c>
      <c r="E75" s="8" t="s">
        <v>1579</v>
      </c>
      <c r="F75" s="8" t="s">
        <v>1580</v>
      </c>
      <c r="G75" s="17" t="s">
        <v>1590</v>
      </c>
      <c r="H75" s="8" t="s">
        <v>204</v>
      </c>
      <c r="I75" s="8" t="s">
        <v>1376</v>
      </c>
      <c r="J75" s="8"/>
      <c r="K75" s="35" t="s">
        <v>1534</v>
      </c>
    </row>
    <row r="76" spans="1:11">
      <c r="A76" s="33" t="s">
        <v>1591</v>
      </c>
      <c r="B76" s="8"/>
      <c r="C76" s="8"/>
      <c r="D76" s="33" t="s">
        <v>1592</v>
      </c>
      <c r="E76" s="8" t="s">
        <v>1579</v>
      </c>
      <c r="F76" s="8" t="s">
        <v>1580</v>
      </c>
      <c r="G76" s="17" t="s">
        <v>1593</v>
      </c>
      <c r="H76" s="8" t="s">
        <v>204</v>
      </c>
      <c r="I76" s="8" t="s">
        <v>1376</v>
      </c>
      <c r="J76" s="8"/>
      <c r="K76" s="35" t="s">
        <v>1534</v>
      </c>
    </row>
    <row r="77" spans="1:11">
      <c r="A77" s="33" t="s">
        <v>1594</v>
      </c>
      <c r="B77" s="8"/>
      <c r="C77" s="8"/>
      <c r="D77" s="33" t="s">
        <v>1595</v>
      </c>
      <c r="E77" s="8" t="s">
        <v>1596</v>
      </c>
      <c r="F77" s="8" t="s">
        <v>1597</v>
      </c>
      <c r="G77" s="17" t="s">
        <v>1598</v>
      </c>
      <c r="H77" s="8" t="s">
        <v>204</v>
      </c>
      <c r="I77" s="8" t="s">
        <v>1376</v>
      </c>
      <c r="J77" s="8"/>
      <c r="K77" s="35" t="s">
        <v>1534</v>
      </c>
    </row>
    <row r="78" spans="1:11">
      <c r="A78" s="33" t="s">
        <v>1599</v>
      </c>
      <c r="B78" s="8"/>
      <c r="C78" s="8"/>
      <c r="D78" s="33" t="s">
        <v>1600</v>
      </c>
      <c r="E78" s="8" t="s">
        <v>1596</v>
      </c>
      <c r="F78" s="8" t="s">
        <v>1597</v>
      </c>
      <c r="G78" s="17" t="s">
        <v>1601</v>
      </c>
      <c r="H78" s="8" t="s">
        <v>204</v>
      </c>
      <c r="I78" s="8" t="s">
        <v>1376</v>
      </c>
      <c r="J78" s="8"/>
      <c r="K78" s="35" t="s">
        <v>1534</v>
      </c>
    </row>
    <row r="79" spans="1:11">
      <c r="A79" s="33" t="s">
        <v>1602</v>
      </c>
      <c r="B79" s="8"/>
      <c r="C79" s="8"/>
      <c r="D79" s="33" t="s">
        <v>1603</v>
      </c>
      <c r="E79" s="8" t="s">
        <v>1596</v>
      </c>
      <c r="F79" s="8" t="s">
        <v>1597</v>
      </c>
      <c r="G79" s="17" t="s">
        <v>1604</v>
      </c>
      <c r="H79" s="8" t="s">
        <v>204</v>
      </c>
      <c r="I79" s="8" t="s">
        <v>1376</v>
      </c>
      <c r="J79" s="8"/>
      <c r="K79" s="35" t="s">
        <v>1534</v>
      </c>
    </row>
    <row r="80" spans="1:11">
      <c r="A80" s="33" t="s">
        <v>1605</v>
      </c>
      <c r="B80" s="8"/>
      <c r="C80" s="8"/>
      <c r="D80" s="33" t="s">
        <v>1606</v>
      </c>
      <c r="E80" s="8" t="s">
        <v>1596</v>
      </c>
      <c r="F80" s="8" t="s">
        <v>1597</v>
      </c>
      <c r="G80" s="17" t="s">
        <v>1607</v>
      </c>
      <c r="H80" s="8" t="s">
        <v>204</v>
      </c>
      <c r="I80" s="8" t="s">
        <v>1376</v>
      </c>
      <c r="J80" s="8"/>
      <c r="K80" s="35" t="s">
        <v>1534</v>
      </c>
    </row>
    <row r="81" spans="1:11">
      <c r="A81" s="8" t="s">
        <v>1608</v>
      </c>
      <c r="B81" s="8"/>
      <c r="C81" s="8"/>
      <c r="D81" s="8" t="s">
        <v>1609</v>
      </c>
      <c r="E81" s="8" t="s">
        <v>1608</v>
      </c>
      <c r="F81" s="8" t="s">
        <v>1610</v>
      </c>
      <c r="G81" s="17" t="s">
        <v>1611</v>
      </c>
      <c r="H81" s="8" t="s">
        <v>204</v>
      </c>
      <c r="I81" s="8" t="s">
        <v>1376</v>
      </c>
      <c r="J81" s="8"/>
      <c r="K81" s="8" t="s">
        <v>1612</v>
      </c>
    </row>
    <row r="82" spans="1:11">
      <c r="A82" s="33" t="s">
        <v>1613</v>
      </c>
      <c r="B82" s="8"/>
      <c r="C82" s="8"/>
      <c r="D82" s="33" t="s">
        <v>1614</v>
      </c>
      <c r="E82" s="8" t="s">
        <v>1615</v>
      </c>
      <c r="F82" s="8" t="s">
        <v>1616</v>
      </c>
      <c r="G82" s="17" t="s">
        <v>1617</v>
      </c>
      <c r="H82" s="8" t="s">
        <v>204</v>
      </c>
      <c r="I82" s="8" t="s">
        <v>1376</v>
      </c>
      <c r="J82" s="8"/>
      <c r="K82" s="35" t="s">
        <v>1534</v>
      </c>
    </row>
    <row r="83" spans="1:11">
      <c r="A83" s="33" t="s">
        <v>1618</v>
      </c>
      <c r="B83" s="8"/>
      <c r="C83" s="8"/>
      <c r="D83" s="33" t="s">
        <v>1619</v>
      </c>
      <c r="E83" s="8" t="s">
        <v>1615</v>
      </c>
      <c r="F83" s="8" t="s">
        <v>1616</v>
      </c>
      <c r="G83" s="17" t="s">
        <v>1620</v>
      </c>
      <c r="H83" s="8" t="s">
        <v>204</v>
      </c>
      <c r="I83" s="8" t="s">
        <v>1376</v>
      </c>
      <c r="J83" s="8"/>
      <c r="K83" s="35" t="s">
        <v>1534</v>
      </c>
    </row>
    <row r="84" spans="1:11">
      <c r="A84" s="33" t="s">
        <v>1621</v>
      </c>
      <c r="B84" s="8"/>
      <c r="C84" s="8"/>
      <c r="D84" s="33" t="s">
        <v>1622</v>
      </c>
      <c r="E84" s="8" t="s">
        <v>1615</v>
      </c>
      <c r="F84" s="8" t="s">
        <v>1616</v>
      </c>
      <c r="G84" s="17" t="s">
        <v>1623</v>
      </c>
      <c r="H84" s="8" t="s">
        <v>204</v>
      </c>
      <c r="I84" s="8" t="s">
        <v>1376</v>
      </c>
      <c r="J84" s="8"/>
      <c r="K84" s="35" t="s">
        <v>1534</v>
      </c>
    </row>
    <row r="85" spans="1:11">
      <c r="A85" s="33" t="s">
        <v>1624</v>
      </c>
      <c r="B85" s="8"/>
      <c r="C85" s="8"/>
      <c r="D85" s="33" t="s">
        <v>1625</v>
      </c>
      <c r="E85" s="8" t="s">
        <v>1615</v>
      </c>
      <c r="F85" s="8" t="s">
        <v>1616</v>
      </c>
      <c r="G85" s="17" t="s">
        <v>1626</v>
      </c>
      <c r="H85" s="8" t="s">
        <v>204</v>
      </c>
      <c r="I85" s="8" t="s">
        <v>1376</v>
      </c>
      <c r="J85" s="8"/>
      <c r="K85" s="35" t="s">
        <v>1534</v>
      </c>
    </row>
    <row r="86" spans="1:11">
      <c r="A86" s="33" t="s">
        <v>1627</v>
      </c>
      <c r="B86" s="8"/>
      <c r="C86" s="8"/>
      <c r="D86" s="33" t="s">
        <v>1628</v>
      </c>
      <c r="E86" s="8" t="s">
        <v>1629</v>
      </c>
      <c r="F86" s="8" t="s">
        <v>1630</v>
      </c>
      <c r="G86" s="8"/>
      <c r="H86" s="8" t="s">
        <v>204</v>
      </c>
      <c r="I86" s="8" t="s">
        <v>1376</v>
      </c>
      <c r="J86" s="8"/>
      <c r="K86" s="34" t="s">
        <v>1631</v>
      </c>
    </row>
    <row r="87" spans="1:11">
      <c r="A87" s="33" t="s">
        <v>1632</v>
      </c>
      <c r="B87" s="8"/>
      <c r="C87" s="8"/>
      <c r="D87" s="33" t="s">
        <v>1633</v>
      </c>
      <c r="E87" s="8" t="s">
        <v>1629</v>
      </c>
      <c r="F87" s="8" t="s">
        <v>1630</v>
      </c>
      <c r="G87" s="8"/>
      <c r="H87" s="8" t="s">
        <v>204</v>
      </c>
      <c r="I87" s="8" t="s">
        <v>1376</v>
      </c>
      <c r="J87" s="8"/>
      <c r="K87" s="34" t="s">
        <v>1634</v>
      </c>
    </row>
    <row r="88" spans="1:11">
      <c r="A88" s="8" t="s">
        <v>1635</v>
      </c>
      <c r="B88" s="8"/>
      <c r="C88" s="8"/>
      <c r="D88" s="8" t="s">
        <v>1636</v>
      </c>
      <c r="E88" s="8" t="s">
        <v>1635</v>
      </c>
      <c r="F88" s="8" t="s">
        <v>1637</v>
      </c>
      <c r="G88" s="8"/>
      <c r="H88" s="8" t="s">
        <v>204</v>
      </c>
      <c r="I88" s="8" t="s">
        <v>1376</v>
      </c>
      <c r="J88" s="8"/>
      <c r="K88" s="8" t="s">
        <v>1612</v>
      </c>
    </row>
    <row r="89" spans="1:11">
      <c r="A89" s="33" t="s">
        <v>1638</v>
      </c>
      <c r="B89" s="8"/>
      <c r="C89" s="8"/>
      <c r="D89" s="33" t="s">
        <v>1639</v>
      </c>
      <c r="E89" s="8" t="s">
        <v>1640</v>
      </c>
      <c r="F89" s="8" t="s">
        <v>1641</v>
      </c>
      <c r="G89" s="8"/>
      <c r="H89" s="8" t="s">
        <v>204</v>
      </c>
      <c r="I89" s="8" t="s">
        <v>1376</v>
      </c>
      <c r="J89" s="8"/>
      <c r="K89" s="34" t="s">
        <v>1642</v>
      </c>
    </row>
    <row r="90" spans="1:11">
      <c r="A90" s="33" t="s">
        <v>1643</v>
      </c>
      <c r="B90" s="8"/>
      <c r="C90" s="8"/>
      <c r="D90" s="33" t="s">
        <v>1644</v>
      </c>
      <c r="E90" s="8" t="s">
        <v>1640</v>
      </c>
      <c r="F90" s="8" t="s">
        <v>1641</v>
      </c>
      <c r="G90" s="8"/>
      <c r="H90" s="8" t="s">
        <v>204</v>
      </c>
      <c r="I90" s="8" t="s">
        <v>1376</v>
      </c>
      <c r="J90" s="8"/>
      <c r="K90" s="34" t="s">
        <v>1645</v>
      </c>
    </row>
    <row r="91" spans="1:11">
      <c r="A91" s="33" t="s">
        <v>1646</v>
      </c>
      <c r="B91" s="8"/>
      <c r="C91" s="8"/>
      <c r="D91" s="33" t="s">
        <v>1647</v>
      </c>
      <c r="E91" s="8" t="s">
        <v>1640</v>
      </c>
      <c r="F91" s="8" t="s">
        <v>1641</v>
      </c>
      <c r="G91" s="8"/>
      <c r="H91" s="8" t="s">
        <v>204</v>
      </c>
      <c r="I91" s="8" t="s">
        <v>1376</v>
      </c>
      <c r="J91" s="8"/>
      <c r="K91" s="34" t="s">
        <v>1648</v>
      </c>
    </row>
    <row r="92" spans="1:11">
      <c r="A92" s="8" t="s">
        <v>1649</v>
      </c>
      <c r="B92" s="8"/>
      <c r="C92" s="8"/>
      <c r="D92" s="8" t="s">
        <v>1650</v>
      </c>
      <c r="E92" s="8" t="s">
        <v>1649</v>
      </c>
      <c r="F92" s="8" t="s">
        <v>1651</v>
      </c>
      <c r="G92" s="8"/>
      <c r="H92" s="8" t="s">
        <v>204</v>
      </c>
      <c r="I92" s="8" t="s">
        <v>1376</v>
      </c>
      <c r="J92" s="8"/>
      <c r="K92" s="34" t="s">
        <v>1652</v>
      </c>
    </row>
    <row r="93" spans="1:11">
      <c r="A93" s="8" t="s">
        <v>1653</v>
      </c>
      <c r="B93" s="8"/>
      <c r="C93" s="8"/>
      <c r="D93" s="8" t="s">
        <v>1654</v>
      </c>
      <c r="E93" s="8" t="s">
        <v>1655</v>
      </c>
      <c r="F93" s="8" t="s">
        <v>1656</v>
      </c>
      <c r="G93" s="17" t="s">
        <v>1657</v>
      </c>
      <c r="H93" s="8" t="s">
        <v>204</v>
      </c>
      <c r="I93" s="8" t="s">
        <v>1376</v>
      </c>
      <c r="J93" s="8"/>
      <c r="K93" s="8" t="s">
        <v>1658</v>
      </c>
    </row>
    <row r="94" spans="1:11">
      <c r="A94" s="8" t="s">
        <v>1659</v>
      </c>
      <c r="B94" s="8"/>
      <c r="C94" s="8"/>
      <c r="D94" s="8" t="s">
        <v>1660</v>
      </c>
      <c r="E94" s="8" t="s">
        <v>1659</v>
      </c>
      <c r="F94" s="8" t="s">
        <v>1661</v>
      </c>
      <c r="G94" s="8"/>
      <c r="H94" s="8" t="s">
        <v>204</v>
      </c>
      <c r="I94" s="8" t="s">
        <v>1376</v>
      </c>
      <c r="J94" s="8"/>
      <c r="K94" s="8" t="s">
        <v>1612</v>
      </c>
    </row>
    <row r="95" spans="1:11">
      <c r="A95" s="33" t="s">
        <v>1662</v>
      </c>
      <c r="B95" s="8"/>
      <c r="C95" s="8"/>
      <c r="D95" s="33" t="s">
        <v>1663</v>
      </c>
      <c r="E95" s="8" t="s">
        <v>1664</v>
      </c>
      <c r="F95" s="8" t="s">
        <v>1665</v>
      </c>
      <c r="G95" s="8"/>
      <c r="H95" s="8" t="s">
        <v>204</v>
      </c>
      <c r="I95" s="8" t="s">
        <v>1376</v>
      </c>
      <c r="J95" s="8"/>
      <c r="K95" s="11" t="s">
        <v>1666</v>
      </c>
    </row>
    <row r="96" spans="1:11">
      <c r="A96" s="33" t="s">
        <v>1667</v>
      </c>
      <c r="B96" s="8"/>
      <c r="C96" s="8"/>
      <c r="D96" s="33" t="s">
        <v>1668</v>
      </c>
      <c r="E96" s="8" t="s">
        <v>1664</v>
      </c>
      <c r="F96" s="8" t="s">
        <v>1665</v>
      </c>
      <c r="G96" s="8"/>
      <c r="H96" s="8" t="s">
        <v>204</v>
      </c>
      <c r="I96" s="8" t="s">
        <v>1376</v>
      </c>
      <c r="J96" s="8"/>
      <c r="K96" s="11" t="s">
        <v>1666</v>
      </c>
    </row>
    <row r="97" spans="1:11">
      <c r="A97" s="33" t="s">
        <v>1669</v>
      </c>
      <c r="B97" s="8"/>
      <c r="C97" s="8"/>
      <c r="D97" s="33" t="s">
        <v>1670</v>
      </c>
      <c r="E97" s="8" t="s">
        <v>1664</v>
      </c>
      <c r="F97" s="8" t="s">
        <v>1665</v>
      </c>
      <c r="G97" s="8"/>
      <c r="H97" s="8" t="s">
        <v>204</v>
      </c>
      <c r="I97" s="8" t="s">
        <v>1376</v>
      </c>
      <c r="J97" s="8"/>
      <c r="K97" s="11" t="s">
        <v>1666</v>
      </c>
    </row>
    <row r="98" spans="1:11">
      <c r="A98" s="33" t="s">
        <v>1671</v>
      </c>
      <c r="B98" s="8"/>
      <c r="C98" s="8"/>
      <c r="D98" s="33" t="s">
        <v>1672</v>
      </c>
      <c r="E98" s="8" t="s">
        <v>1664</v>
      </c>
      <c r="F98" s="8" t="s">
        <v>1665</v>
      </c>
      <c r="G98" s="8"/>
      <c r="H98" s="8" t="s">
        <v>204</v>
      </c>
      <c r="I98" s="8" t="s">
        <v>1376</v>
      </c>
      <c r="J98" s="8"/>
      <c r="K98" s="11" t="s">
        <v>1666</v>
      </c>
    </row>
    <row r="99" spans="1:11">
      <c r="A99" s="33" t="s">
        <v>1673</v>
      </c>
      <c r="B99" s="8"/>
      <c r="C99" s="8"/>
      <c r="D99" s="33" t="s">
        <v>1674</v>
      </c>
      <c r="E99" s="8" t="s">
        <v>1664</v>
      </c>
      <c r="F99" s="8" t="s">
        <v>1665</v>
      </c>
      <c r="G99" s="8"/>
      <c r="H99" s="8" t="s">
        <v>204</v>
      </c>
      <c r="I99" s="8" t="s">
        <v>1376</v>
      </c>
      <c r="J99" s="8"/>
      <c r="K99" s="11" t="s">
        <v>1666</v>
      </c>
    </row>
    <row r="100" spans="1:11">
      <c r="A100" s="33" t="s">
        <v>1675</v>
      </c>
      <c r="B100" s="8"/>
      <c r="C100" s="8"/>
      <c r="D100" s="33" t="s">
        <v>1676</v>
      </c>
      <c r="E100" s="8" t="s">
        <v>1664</v>
      </c>
      <c r="F100" s="8" t="s">
        <v>1665</v>
      </c>
      <c r="G100" s="8"/>
      <c r="H100" s="8" t="s">
        <v>204</v>
      </c>
      <c r="I100" s="8" t="s">
        <v>1376</v>
      </c>
      <c r="J100" s="8"/>
      <c r="K100" s="11" t="s">
        <v>1666</v>
      </c>
    </row>
    <row r="101" spans="1:11">
      <c r="A101" s="33" t="s">
        <v>1677</v>
      </c>
      <c r="B101" s="8"/>
      <c r="C101" s="8"/>
      <c r="D101" s="33" t="s">
        <v>1678</v>
      </c>
      <c r="E101" s="8" t="s">
        <v>1664</v>
      </c>
      <c r="F101" s="8" t="s">
        <v>1665</v>
      </c>
      <c r="G101" s="8"/>
      <c r="H101" s="8" t="s">
        <v>204</v>
      </c>
      <c r="I101" s="8" t="s">
        <v>1376</v>
      </c>
      <c r="J101" s="8"/>
      <c r="K101" s="11" t="s">
        <v>1666</v>
      </c>
    </row>
    <row r="102" spans="1:11">
      <c r="A102" s="33" t="s">
        <v>1679</v>
      </c>
      <c r="B102" s="8"/>
      <c r="C102" s="8"/>
      <c r="D102" s="33" t="s">
        <v>1680</v>
      </c>
      <c r="E102" s="8" t="s">
        <v>1664</v>
      </c>
      <c r="F102" s="8" t="s">
        <v>1665</v>
      </c>
      <c r="G102" s="8"/>
      <c r="H102" s="8" t="s">
        <v>204</v>
      </c>
      <c r="I102" s="8" t="s">
        <v>1376</v>
      </c>
      <c r="J102" s="8"/>
      <c r="K102" s="11" t="s">
        <v>1666</v>
      </c>
    </row>
    <row r="103" spans="1:11">
      <c r="A103" s="33" t="s">
        <v>1681</v>
      </c>
      <c r="B103" s="8"/>
      <c r="C103" s="8"/>
      <c r="D103" s="33" t="s">
        <v>1682</v>
      </c>
      <c r="E103" s="8" t="s">
        <v>1664</v>
      </c>
      <c r="F103" s="8" t="s">
        <v>1665</v>
      </c>
      <c r="G103" s="8"/>
      <c r="H103" s="8" t="s">
        <v>204</v>
      </c>
      <c r="I103" s="8" t="s">
        <v>1376</v>
      </c>
      <c r="J103" s="8"/>
      <c r="K103" s="11" t="s">
        <v>1666</v>
      </c>
    </row>
    <row r="104" spans="1:11">
      <c r="A104" s="33" t="s">
        <v>1683</v>
      </c>
      <c r="B104" s="8"/>
      <c r="C104" s="8"/>
      <c r="D104" s="33" t="s">
        <v>1684</v>
      </c>
      <c r="E104" s="8" t="s">
        <v>1664</v>
      </c>
      <c r="F104" s="8" t="s">
        <v>1665</v>
      </c>
      <c r="G104" s="8"/>
      <c r="H104" s="8" t="s">
        <v>204</v>
      </c>
      <c r="I104" s="8" t="s">
        <v>1376</v>
      </c>
      <c r="J104" s="8"/>
      <c r="K104" s="11" t="s">
        <v>1666</v>
      </c>
    </row>
    <row r="105" spans="1:11">
      <c r="A105" s="33" t="s">
        <v>1685</v>
      </c>
      <c r="B105" s="8"/>
      <c r="C105" s="8"/>
      <c r="D105" s="33" t="s">
        <v>1686</v>
      </c>
      <c r="E105" s="8" t="s">
        <v>1664</v>
      </c>
      <c r="F105" s="8" t="s">
        <v>1665</v>
      </c>
      <c r="G105" s="8"/>
      <c r="H105" s="8" t="s">
        <v>204</v>
      </c>
      <c r="I105" s="8" t="s">
        <v>1376</v>
      </c>
      <c r="J105" s="8"/>
      <c r="K105" s="11" t="s">
        <v>1666</v>
      </c>
    </row>
    <row r="106" spans="1:11">
      <c r="A106" s="33" t="s">
        <v>1687</v>
      </c>
      <c r="B106" s="8"/>
      <c r="C106" s="8"/>
      <c r="D106" s="33" t="s">
        <v>1688</v>
      </c>
      <c r="E106" s="8" t="s">
        <v>1664</v>
      </c>
      <c r="F106" s="8" t="s">
        <v>1665</v>
      </c>
      <c r="G106" s="8"/>
      <c r="H106" s="8" t="s">
        <v>204</v>
      </c>
      <c r="I106" s="8" t="s">
        <v>1376</v>
      </c>
      <c r="J106" s="8"/>
      <c r="K106" s="11" t="s">
        <v>1666</v>
      </c>
    </row>
    <row r="107" spans="1:11">
      <c r="A107" s="33" t="s">
        <v>1689</v>
      </c>
      <c r="B107" s="8"/>
      <c r="C107" s="8"/>
      <c r="D107" s="33" t="s">
        <v>1690</v>
      </c>
      <c r="E107" s="8" t="s">
        <v>1664</v>
      </c>
      <c r="F107" s="8" t="s">
        <v>1665</v>
      </c>
      <c r="G107" s="8"/>
      <c r="H107" s="8" t="s">
        <v>204</v>
      </c>
      <c r="I107" s="8" t="s">
        <v>1376</v>
      </c>
      <c r="J107" s="8"/>
      <c r="K107" s="11" t="s">
        <v>1666</v>
      </c>
    </row>
    <row r="108" spans="1:11">
      <c r="A108" s="33" t="s">
        <v>1691</v>
      </c>
      <c r="B108" s="8"/>
      <c r="C108" s="8"/>
      <c r="D108" s="33" t="s">
        <v>1692</v>
      </c>
      <c r="E108" s="8" t="s">
        <v>1664</v>
      </c>
      <c r="F108" s="8" t="s">
        <v>1665</v>
      </c>
      <c r="G108" s="8"/>
      <c r="H108" s="8" t="s">
        <v>204</v>
      </c>
      <c r="I108" s="8" t="s">
        <v>1376</v>
      </c>
      <c r="J108" s="8"/>
      <c r="K108" s="11" t="s">
        <v>1666</v>
      </c>
    </row>
    <row r="109" spans="1:11">
      <c r="A109" s="33" t="s">
        <v>1693</v>
      </c>
      <c r="B109" s="8"/>
      <c r="C109" s="8"/>
      <c r="D109" s="33" t="s">
        <v>1694</v>
      </c>
      <c r="E109" s="8" t="s">
        <v>1664</v>
      </c>
      <c r="F109" s="8" t="s">
        <v>1665</v>
      </c>
      <c r="G109" s="8"/>
      <c r="H109" s="8" t="s">
        <v>204</v>
      </c>
      <c r="I109" s="8" t="s">
        <v>1376</v>
      </c>
      <c r="J109" s="8"/>
      <c r="K109" s="11" t="s">
        <v>1666</v>
      </c>
    </row>
    <row r="110" spans="1:11">
      <c r="A110" s="33" t="s">
        <v>1695</v>
      </c>
      <c r="B110" s="8"/>
      <c r="C110" s="8"/>
      <c r="D110" s="33" t="s">
        <v>1696</v>
      </c>
      <c r="E110" s="8" t="s">
        <v>1664</v>
      </c>
      <c r="F110" s="8" t="s">
        <v>1665</v>
      </c>
      <c r="G110" s="8"/>
      <c r="H110" s="8" t="s">
        <v>204</v>
      </c>
      <c r="I110" s="8" t="s">
        <v>1376</v>
      </c>
      <c r="J110" s="8"/>
      <c r="K110" s="11" t="s">
        <v>1666</v>
      </c>
    </row>
    <row r="111" spans="1:11">
      <c r="A111" s="33" t="s">
        <v>1697</v>
      </c>
      <c r="B111" s="8"/>
      <c r="C111" s="8"/>
      <c r="D111" s="33" t="s">
        <v>1698</v>
      </c>
      <c r="E111" s="8" t="s">
        <v>1664</v>
      </c>
      <c r="F111" s="8" t="s">
        <v>1665</v>
      </c>
      <c r="G111" s="8"/>
      <c r="H111" s="8" t="s">
        <v>204</v>
      </c>
      <c r="I111" s="8" t="s">
        <v>1376</v>
      </c>
      <c r="J111" s="8"/>
      <c r="K111" s="11" t="s">
        <v>1666</v>
      </c>
    </row>
    <row r="112" spans="1:11">
      <c r="A112" s="33" t="s">
        <v>1699</v>
      </c>
      <c r="B112" s="8"/>
      <c r="C112" s="8"/>
      <c r="D112" s="33" t="s">
        <v>1700</v>
      </c>
      <c r="E112" s="8" t="s">
        <v>1701</v>
      </c>
      <c r="F112" s="8" t="s">
        <v>1702</v>
      </c>
      <c r="G112" s="8"/>
      <c r="H112" s="8" t="s">
        <v>204</v>
      </c>
      <c r="I112" s="8" t="s">
        <v>1376</v>
      </c>
      <c r="J112" s="8"/>
      <c r="K112" s="37" t="s">
        <v>1703</v>
      </c>
    </row>
    <row r="113" spans="1:11">
      <c r="A113" s="33" t="s">
        <v>1704</v>
      </c>
      <c r="B113" s="8"/>
      <c r="C113" s="8"/>
      <c r="D113" s="33" t="s">
        <v>1705</v>
      </c>
      <c r="E113" s="8" t="s">
        <v>1701</v>
      </c>
      <c r="F113" s="8" t="s">
        <v>1702</v>
      </c>
      <c r="G113" s="8"/>
      <c r="H113" s="8" t="s">
        <v>204</v>
      </c>
      <c r="I113" s="8" t="s">
        <v>1376</v>
      </c>
      <c r="J113" s="8"/>
      <c r="K113" s="37" t="s">
        <v>1706</v>
      </c>
    </row>
    <row r="114" spans="1:11">
      <c r="A114" s="33" t="s">
        <v>1707</v>
      </c>
      <c r="B114" s="8"/>
      <c r="C114" s="8"/>
      <c r="D114" s="33" t="s">
        <v>1708</v>
      </c>
      <c r="E114" s="8" t="s">
        <v>1701</v>
      </c>
      <c r="F114" s="8" t="s">
        <v>1702</v>
      </c>
      <c r="G114" s="8"/>
      <c r="H114" s="8" t="s">
        <v>204</v>
      </c>
      <c r="I114" s="8" t="s">
        <v>1376</v>
      </c>
      <c r="J114" s="8"/>
      <c r="K114" s="37" t="s">
        <v>1709</v>
      </c>
    </row>
    <row r="115" spans="1:11">
      <c r="A115" s="33" t="s">
        <v>1710</v>
      </c>
      <c r="B115" s="8"/>
      <c r="C115" s="8"/>
      <c r="D115" s="33" t="s">
        <v>1711</v>
      </c>
      <c r="E115" s="8" t="s">
        <v>1712</v>
      </c>
      <c r="F115" s="8" t="s">
        <v>1713</v>
      </c>
      <c r="G115" s="8"/>
      <c r="H115" s="8" t="s">
        <v>204</v>
      </c>
      <c r="I115" s="8" t="s">
        <v>1376</v>
      </c>
      <c r="J115" s="8"/>
      <c r="K115" s="37" t="s">
        <v>1714</v>
      </c>
    </row>
    <row r="116" spans="1:11">
      <c r="A116" s="33" t="s">
        <v>1715</v>
      </c>
      <c r="B116" s="8"/>
      <c r="C116" s="8"/>
      <c r="D116" s="33" t="s">
        <v>1716</v>
      </c>
      <c r="E116" s="8" t="s">
        <v>1712</v>
      </c>
      <c r="F116" s="8" t="s">
        <v>1713</v>
      </c>
      <c r="G116" s="8"/>
      <c r="H116" s="8" t="s">
        <v>204</v>
      </c>
      <c r="I116" s="8" t="s">
        <v>1376</v>
      </c>
      <c r="J116" s="8"/>
      <c r="K116" s="37" t="s">
        <v>1717</v>
      </c>
    </row>
    <row r="117" spans="1:11">
      <c r="A117" s="33" t="s">
        <v>1718</v>
      </c>
      <c r="B117" s="8"/>
      <c r="C117" s="8"/>
      <c r="D117" s="33" t="s">
        <v>1719</v>
      </c>
      <c r="E117" s="8" t="s">
        <v>1712</v>
      </c>
      <c r="F117" s="8" t="s">
        <v>1713</v>
      </c>
      <c r="G117" s="8"/>
      <c r="H117" s="8" t="s">
        <v>204</v>
      </c>
      <c r="I117" s="8" t="s">
        <v>1376</v>
      </c>
      <c r="J117" s="8"/>
      <c r="K117" s="37" t="s">
        <v>1720</v>
      </c>
    </row>
    <row r="118" spans="1:11">
      <c r="A118" s="33" t="s">
        <v>1721</v>
      </c>
      <c r="B118" s="8"/>
      <c r="C118" s="8"/>
      <c r="D118" s="33" t="s">
        <v>1722</v>
      </c>
      <c r="E118" s="8" t="s">
        <v>1712</v>
      </c>
      <c r="F118" s="8" t="s">
        <v>1713</v>
      </c>
      <c r="G118" s="17" t="s">
        <v>1723</v>
      </c>
      <c r="H118" s="8" t="s">
        <v>204</v>
      </c>
      <c r="I118" s="8" t="s">
        <v>1376</v>
      </c>
      <c r="J118" s="8"/>
      <c r="K118" s="8" t="s">
        <v>1724</v>
      </c>
    </row>
    <row r="119" spans="1:11">
      <c r="A119" s="33" t="s">
        <v>1725</v>
      </c>
      <c r="B119" s="8"/>
      <c r="C119" s="8"/>
      <c r="D119" s="33" t="s">
        <v>1726</v>
      </c>
      <c r="E119" s="8" t="s">
        <v>1727</v>
      </c>
      <c r="F119" s="8" t="s">
        <v>1728</v>
      </c>
      <c r="G119" s="8"/>
      <c r="H119" s="8" t="s">
        <v>204</v>
      </c>
      <c r="I119" s="8" t="s">
        <v>1376</v>
      </c>
      <c r="J119" s="8"/>
      <c r="K119" s="37" t="s">
        <v>1729</v>
      </c>
    </row>
    <row r="120" spans="1:11">
      <c r="A120" s="33" t="s">
        <v>1730</v>
      </c>
      <c r="B120" s="8"/>
      <c r="C120" s="8"/>
      <c r="D120" s="33" t="s">
        <v>1731</v>
      </c>
      <c r="E120" s="8" t="s">
        <v>1727</v>
      </c>
      <c r="F120" s="8" t="s">
        <v>1728</v>
      </c>
      <c r="G120" s="8"/>
      <c r="H120" s="8" t="s">
        <v>204</v>
      </c>
      <c r="I120" s="8" t="s">
        <v>1376</v>
      </c>
      <c r="J120" s="8"/>
      <c r="K120" s="37" t="s">
        <v>1732</v>
      </c>
    </row>
    <row r="121" spans="1:11">
      <c r="A121" s="33" t="s">
        <v>1733</v>
      </c>
      <c r="B121" s="8"/>
      <c r="C121" s="8"/>
      <c r="D121" s="33" t="s">
        <v>1734</v>
      </c>
      <c r="E121" s="8" t="s">
        <v>1735</v>
      </c>
      <c r="F121" s="8" t="s">
        <v>1736</v>
      </c>
      <c r="G121" s="8"/>
      <c r="H121" s="8" t="s">
        <v>204</v>
      </c>
      <c r="I121" s="8" t="s">
        <v>1376</v>
      </c>
      <c r="J121" s="8"/>
      <c r="K121" s="37" t="s">
        <v>1737</v>
      </c>
    </row>
    <row r="122" spans="1:11">
      <c r="A122" s="33" t="s">
        <v>1738</v>
      </c>
      <c r="B122" s="8"/>
      <c r="C122" s="8"/>
      <c r="D122" s="33" t="s">
        <v>1739</v>
      </c>
      <c r="E122" s="8" t="s">
        <v>1735</v>
      </c>
      <c r="F122" s="8" t="s">
        <v>1736</v>
      </c>
      <c r="G122" s="8"/>
      <c r="H122" s="8" t="s">
        <v>204</v>
      </c>
      <c r="I122" s="8" t="s">
        <v>1376</v>
      </c>
      <c r="J122" s="8"/>
      <c r="K122" s="37" t="s">
        <v>1740</v>
      </c>
    </row>
    <row r="123" spans="1:11">
      <c r="A123" s="33" t="s">
        <v>1741</v>
      </c>
      <c r="B123" s="8"/>
      <c r="C123" s="8"/>
      <c r="D123" s="33" t="s">
        <v>1742</v>
      </c>
      <c r="E123" s="8" t="s">
        <v>1735</v>
      </c>
      <c r="F123" s="8" t="s">
        <v>1736</v>
      </c>
      <c r="G123" s="8"/>
      <c r="H123" s="8" t="s">
        <v>204</v>
      </c>
      <c r="I123" s="8" t="s">
        <v>1376</v>
      </c>
      <c r="J123" s="8"/>
      <c r="K123" s="37" t="s">
        <v>1743</v>
      </c>
    </row>
    <row r="124" spans="1:11">
      <c r="A124" s="33" t="s">
        <v>1744</v>
      </c>
      <c r="B124" s="8"/>
      <c r="C124" s="8"/>
      <c r="D124" s="33" t="s">
        <v>1745</v>
      </c>
      <c r="E124" s="8" t="s">
        <v>1746</v>
      </c>
      <c r="F124" s="8" t="s">
        <v>1747</v>
      </c>
      <c r="G124" s="8"/>
      <c r="H124" s="8" t="s">
        <v>204</v>
      </c>
      <c r="I124" s="8" t="s">
        <v>1376</v>
      </c>
      <c r="J124" s="8"/>
      <c r="K124" s="34" t="s">
        <v>1748</v>
      </c>
    </row>
    <row r="125" spans="1:11">
      <c r="A125" s="33" t="s">
        <v>1749</v>
      </c>
      <c r="B125" s="8"/>
      <c r="C125" s="8"/>
      <c r="D125" s="33" t="s">
        <v>1750</v>
      </c>
      <c r="E125" s="8" t="s">
        <v>1746</v>
      </c>
      <c r="F125" s="8" t="s">
        <v>1747</v>
      </c>
      <c r="G125" s="8"/>
      <c r="H125" s="8" t="s">
        <v>204</v>
      </c>
      <c r="I125" s="8" t="s">
        <v>1376</v>
      </c>
      <c r="J125" s="8"/>
      <c r="K125" s="34" t="s">
        <v>1751</v>
      </c>
    </row>
    <row r="126" spans="1:11">
      <c r="A126" s="33" t="s">
        <v>1752</v>
      </c>
      <c r="B126" s="8"/>
      <c r="C126" s="8"/>
      <c r="D126" s="33" t="s">
        <v>1753</v>
      </c>
      <c r="E126" s="8" t="s">
        <v>1746</v>
      </c>
      <c r="F126" s="8" t="s">
        <v>1747</v>
      </c>
      <c r="G126" s="8"/>
      <c r="H126" s="8" t="s">
        <v>204</v>
      </c>
      <c r="I126" s="8" t="s">
        <v>1376</v>
      </c>
      <c r="J126" s="8"/>
      <c r="K126" s="37" t="s">
        <v>1754</v>
      </c>
    </row>
    <row r="127" spans="1:11">
      <c r="A127" s="33" t="s">
        <v>1755</v>
      </c>
      <c r="B127" s="8"/>
      <c r="C127" s="8"/>
      <c r="D127" s="33" t="s">
        <v>1756</v>
      </c>
      <c r="E127" s="8" t="s">
        <v>1746</v>
      </c>
      <c r="F127" s="8" t="s">
        <v>1747</v>
      </c>
      <c r="G127" s="8"/>
      <c r="H127" s="8" t="s">
        <v>204</v>
      </c>
      <c r="I127" s="8" t="s">
        <v>1376</v>
      </c>
      <c r="J127" s="8"/>
      <c r="K127" s="37" t="s">
        <v>1757</v>
      </c>
    </row>
    <row r="128" spans="1:11">
      <c r="A128" s="33" t="s">
        <v>1758</v>
      </c>
      <c r="B128" s="8"/>
      <c r="C128" s="8"/>
      <c r="D128" s="33" t="s">
        <v>1759</v>
      </c>
      <c r="E128" s="8" t="s">
        <v>1746</v>
      </c>
      <c r="F128" s="8" t="s">
        <v>1747</v>
      </c>
      <c r="G128" s="8"/>
      <c r="H128" s="8" t="s">
        <v>204</v>
      </c>
      <c r="I128" s="8" t="s">
        <v>1376</v>
      </c>
      <c r="J128" s="8"/>
      <c r="K128" s="37" t="s">
        <v>1760</v>
      </c>
    </row>
    <row r="129" spans="1:11">
      <c r="A129" s="33" t="s">
        <v>1761</v>
      </c>
      <c r="B129" s="8"/>
      <c r="C129" s="8"/>
      <c r="D129" s="33" t="s">
        <v>1762</v>
      </c>
      <c r="E129" s="8" t="s">
        <v>1763</v>
      </c>
      <c r="F129" s="8" t="s">
        <v>1764</v>
      </c>
      <c r="G129" s="8"/>
      <c r="H129" s="8" t="s">
        <v>204</v>
      </c>
      <c r="I129" s="8" t="s">
        <v>1376</v>
      </c>
      <c r="J129" s="8"/>
      <c r="K129" s="8" t="s">
        <v>1612</v>
      </c>
    </row>
    <row r="130" spans="1:11">
      <c r="A130" s="33" t="s">
        <v>1765</v>
      </c>
      <c r="B130" s="8"/>
      <c r="C130" s="8"/>
      <c r="D130" s="33" t="s">
        <v>1766</v>
      </c>
      <c r="E130" s="8" t="s">
        <v>1763</v>
      </c>
      <c r="F130" s="8" t="s">
        <v>1764</v>
      </c>
      <c r="G130" s="8"/>
      <c r="H130" s="8" t="s">
        <v>204</v>
      </c>
      <c r="I130" s="8" t="s">
        <v>1376</v>
      </c>
      <c r="J130" s="8"/>
      <c r="K130" s="8" t="s">
        <v>1612</v>
      </c>
    </row>
    <row r="131" spans="1:11">
      <c r="A131" s="33" t="s">
        <v>1767</v>
      </c>
      <c r="B131" s="8"/>
      <c r="C131" s="8"/>
      <c r="D131" s="33" t="s">
        <v>1768</v>
      </c>
      <c r="E131" s="8" t="s">
        <v>1769</v>
      </c>
      <c r="F131" s="8" t="s">
        <v>1770</v>
      </c>
      <c r="G131" s="8" t="s">
        <v>1771</v>
      </c>
      <c r="H131" s="8" t="s">
        <v>204</v>
      </c>
      <c r="I131" s="8" t="s">
        <v>1376</v>
      </c>
      <c r="J131" s="8"/>
      <c r="K131" s="34" t="s">
        <v>1772</v>
      </c>
    </row>
    <row r="132" spans="1:11">
      <c r="A132" s="33" t="s">
        <v>1773</v>
      </c>
      <c r="B132" s="8"/>
      <c r="C132" s="8"/>
      <c r="D132" s="33" t="s">
        <v>1774</v>
      </c>
      <c r="E132" s="8" t="s">
        <v>1769</v>
      </c>
      <c r="F132" s="8" t="s">
        <v>1770</v>
      </c>
      <c r="G132" s="8"/>
      <c r="H132" s="8" t="s">
        <v>204</v>
      </c>
      <c r="I132" s="8" t="s">
        <v>1376</v>
      </c>
      <c r="J132" s="8"/>
      <c r="K132" s="34" t="s">
        <v>1775</v>
      </c>
    </row>
    <row r="133" spans="1:11">
      <c r="A133" s="33" t="s">
        <v>1776</v>
      </c>
      <c r="B133" s="8"/>
      <c r="C133" s="8"/>
      <c r="D133" s="33" t="s">
        <v>1777</v>
      </c>
      <c r="E133" s="8" t="s">
        <v>1769</v>
      </c>
      <c r="F133" s="8" t="s">
        <v>1770</v>
      </c>
      <c r="G133" s="17" t="s">
        <v>1778</v>
      </c>
      <c r="H133" s="8" t="s">
        <v>204</v>
      </c>
      <c r="I133" s="8" t="s">
        <v>1376</v>
      </c>
      <c r="J133" s="8"/>
      <c r="K133" s="34" t="s">
        <v>1779</v>
      </c>
    </row>
    <row r="134" spans="1:11">
      <c r="A134" s="8" t="s">
        <v>1780</v>
      </c>
      <c r="B134" s="8"/>
      <c r="C134" s="8"/>
      <c r="D134" s="8" t="s">
        <v>1781</v>
      </c>
      <c r="E134" s="8" t="s">
        <v>1780</v>
      </c>
      <c r="F134" s="8" t="s">
        <v>1782</v>
      </c>
      <c r="G134" s="8"/>
      <c r="H134" s="8" t="s">
        <v>204</v>
      </c>
      <c r="I134" s="8" t="s">
        <v>1376</v>
      </c>
      <c r="J134" s="8"/>
      <c r="K134" s="34" t="s">
        <v>1783</v>
      </c>
    </row>
    <row r="135" spans="1:11">
      <c r="A135" s="33" t="s">
        <v>1784</v>
      </c>
      <c r="B135" s="8"/>
      <c r="C135" s="8"/>
      <c r="D135" s="33" t="s">
        <v>1785</v>
      </c>
      <c r="E135" s="8" t="s">
        <v>1786</v>
      </c>
      <c r="F135" s="8" t="s">
        <v>1787</v>
      </c>
      <c r="G135" s="8"/>
      <c r="H135" s="8" t="s">
        <v>204</v>
      </c>
      <c r="I135" s="8" t="s">
        <v>1376</v>
      </c>
      <c r="J135" s="8"/>
      <c r="K135" s="8" t="s">
        <v>1612</v>
      </c>
    </row>
    <row r="136" spans="1:11">
      <c r="A136" s="33" t="s">
        <v>1788</v>
      </c>
      <c r="B136" s="8"/>
      <c r="C136" s="8"/>
      <c r="D136" s="33" t="s">
        <v>1789</v>
      </c>
      <c r="E136" s="8" t="s">
        <v>1786</v>
      </c>
      <c r="F136" s="8" t="s">
        <v>1787</v>
      </c>
      <c r="G136" s="8"/>
      <c r="H136" s="8" t="s">
        <v>204</v>
      </c>
      <c r="I136" s="8" t="s">
        <v>1376</v>
      </c>
      <c r="J136" s="8"/>
      <c r="K136" s="34" t="s">
        <v>1790</v>
      </c>
    </row>
    <row r="137" spans="1:11">
      <c r="A137" s="8" t="s">
        <v>1791</v>
      </c>
      <c r="B137" s="8"/>
      <c r="C137" s="8"/>
      <c r="D137" s="8" t="s">
        <v>1792</v>
      </c>
      <c r="E137" s="8" t="s">
        <v>1791</v>
      </c>
      <c r="F137" s="8" t="s">
        <v>1793</v>
      </c>
      <c r="G137" s="8"/>
      <c r="H137" s="8" t="s">
        <v>204</v>
      </c>
      <c r="I137" s="8" t="s">
        <v>1376</v>
      </c>
      <c r="J137" s="8"/>
      <c r="K137" s="34" t="s">
        <v>1794</v>
      </c>
    </row>
    <row r="138" spans="1:11">
      <c r="A138" s="33" t="s">
        <v>1795</v>
      </c>
      <c r="B138" s="8"/>
      <c r="C138" s="8"/>
      <c r="D138" s="33" t="s">
        <v>1796</v>
      </c>
      <c r="E138" s="8" t="s">
        <v>1797</v>
      </c>
      <c r="F138" s="8" t="s">
        <v>1798</v>
      </c>
      <c r="G138" s="8" t="s">
        <v>1799</v>
      </c>
      <c r="H138" s="8" t="s">
        <v>204</v>
      </c>
      <c r="I138" s="8" t="s">
        <v>1376</v>
      </c>
      <c r="J138" s="8"/>
      <c r="K138" s="34" t="s">
        <v>1800</v>
      </c>
    </row>
    <row r="139" spans="1:11">
      <c r="A139" s="33" t="s">
        <v>1801</v>
      </c>
      <c r="B139" s="8"/>
      <c r="C139" s="8"/>
      <c r="D139" s="33" t="s">
        <v>1802</v>
      </c>
      <c r="E139" s="8" t="s">
        <v>1797</v>
      </c>
      <c r="F139" s="8" t="s">
        <v>1798</v>
      </c>
      <c r="G139" s="8" t="s">
        <v>1803</v>
      </c>
      <c r="H139" s="8" t="s">
        <v>204</v>
      </c>
      <c r="I139" s="8" t="s">
        <v>1376</v>
      </c>
      <c r="J139" s="8"/>
      <c r="K139" s="34" t="s">
        <v>1804</v>
      </c>
    </row>
    <row r="140" spans="1:11">
      <c r="A140" s="8" t="s">
        <v>1805</v>
      </c>
      <c r="B140" s="8"/>
      <c r="C140" s="8"/>
      <c r="D140" s="8" t="s">
        <v>1806</v>
      </c>
      <c r="E140" s="8" t="s">
        <v>1805</v>
      </c>
      <c r="F140" s="8" t="s">
        <v>1807</v>
      </c>
      <c r="G140" s="8"/>
      <c r="H140" s="8" t="s">
        <v>204</v>
      </c>
      <c r="I140" s="8" t="s">
        <v>1376</v>
      </c>
      <c r="J140" s="8"/>
      <c r="K140" s="34" t="s">
        <v>1808</v>
      </c>
    </row>
    <row r="141" spans="1:11">
      <c r="A141" s="8" t="s">
        <v>1809</v>
      </c>
      <c r="B141" s="8"/>
      <c r="C141" s="8"/>
      <c r="D141" s="8" t="s">
        <v>1810</v>
      </c>
      <c r="E141" s="8" t="s">
        <v>1809</v>
      </c>
      <c r="F141" s="8" t="s">
        <v>1811</v>
      </c>
      <c r="G141" s="8"/>
      <c r="H141" s="8" t="s">
        <v>204</v>
      </c>
      <c r="I141" s="8" t="s">
        <v>1376</v>
      </c>
      <c r="J141" s="8"/>
      <c r="K141" s="34" t="s">
        <v>1812</v>
      </c>
    </row>
    <row r="142" spans="1:11">
      <c r="A142" s="8" t="s">
        <v>1813</v>
      </c>
      <c r="B142" s="8"/>
      <c r="C142" s="8"/>
      <c r="D142" s="8" t="s">
        <v>1814</v>
      </c>
      <c r="E142" s="8" t="s">
        <v>1813</v>
      </c>
      <c r="F142" s="8" t="s">
        <v>1815</v>
      </c>
      <c r="G142" s="8"/>
      <c r="H142" s="8" t="s">
        <v>204</v>
      </c>
      <c r="I142" s="8" t="s">
        <v>1376</v>
      </c>
      <c r="J142" s="8"/>
      <c r="K142" s="34" t="s">
        <v>1816</v>
      </c>
    </row>
    <row r="143" spans="1:11">
      <c r="A143" s="33" t="s">
        <v>1817</v>
      </c>
      <c r="B143" s="8"/>
      <c r="C143" s="8"/>
      <c r="D143" s="33" t="s">
        <v>1818</v>
      </c>
      <c r="E143" s="8" t="s">
        <v>1819</v>
      </c>
      <c r="F143" s="8" t="s">
        <v>1820</v>
      </c>
      <c r="G143" s="17">
        <v>302670</v>
      </c>
      <c r="H143" s="8" t="s">
        <v>204</v>
      </c>
      <c r="I143" s="8" t="s">
        <v>1376</v>
      </c>
      <c r="J143" s="8"/>
      <c r="K143" s="34" t="s">
        <v>1821</v>
      </c>
    </row>
    <row r="144" spans="1:11">
      <c r="A144" s="33" t="s">
        <v>1822</v>
      </c>
      <c r="B144" s="8"/>
      <c r="C144" s="8"/>
      <c r="D144" s="33" t="s">
        <v>1823</v>
      </c>
      <c r="E144" s="8" t="s">
        <v>1819</v>
      </c>
      <c r="F144" s="8" t="s">
        <v>1820</v>
      </c>
      <c r="G144" s="17">
        <v>326073</v>
      </c>
      <c r="H144" s="8" t="s">
        <v>204</v>
      </c>
      <c r="I144" s="8" t="s">
        <v>1376</v>
      </c>
      <c r="J144" s="8"/>
      <c r="K144" s="34" t="s">
        <v>1824</v>
      </c>
    </row>
    <row r="145" spans="1:11">
      <c r="A145" s="33" t="s">
        <v>1825</v>
      </c>
      <c r="B145" s="8"/>
      <c r="C145" s="8"/>
      <c r="D145" s="33" t="s">
        <v>1826</v>
      </c>
      <c r="E145" s="8" t="s">
        <v>1827</v>
      </c>
      <c r="F145" s="8" t="s">
        <v>1828</v>
      </c>
      <c r="G145" s="8" t="s">
        <v>1829</v>
      </c>
      <c r="H145" s="8" t="s">
        <v>204</v>
      </c>
      <c r="I145" s="8" t="s">
        <v>1376</v>
      </c>
      <c r="J145" s="8"/>
      <c r="K145" s="34" t="s">
        <v>1830</v>
      </c>
    </row>
    <row r="146" spans="1:11">
      <c r="A146" s="33" t="s">
        <v>1831</v>
      </c>
      <c r="B146" s="8"/>
      <c r="C146" s="8"/>
      <c r="D146" s="33" t="s">
        <v>1832</v>
      </c>
      <c r="E146" s="8" t="s">
        <v>1827</v>
      </c>
      <c r="F146" s="8" t="s">
        <v>1828</v>
      </c>
      <c r="G146" s="8" t="s">
        <v>1833</v>
      </c>
      <c r="H146" s="8" t="s">
        <v>204</v>
      </c>
      <c r="I146" s="8" t="s">
        <v>1376</v>
      </c>
      <c r="J146" s="8"/>
      <c r="K146" s="34" t="s">
        <v>1834</v>
      </c>
    </row>
    <row r="147" spans="1:11">
      <c r="A147" s="33" t="s">
        <v>1835</v>
      </c>
      <c r="B147" s="8"/>
      <c r="C147" s="8"/>
      <c r="D147" s="33" t="s">
        <v>1836</v>
      </c>
      <c r="E147" s="8" t="s">
        <v>1827</v>
      </c>
      <c r="F147" s="8" t="s">
        <v>1828</v>
      </c>
      <c r="G147" s="8"/>
      <c r="H147" s="8" t="s">
        <v>204</v>
      </c>
      <c r="I147" s="8" t="s">
        <v>1376</v>
      </c>
      <c r="J147" s="8"/>
      <c r="K147" s="8" t="s">
        <v>1612</v>
      </c>
    </row>
    <row r="148" spans="1:11">
      <c r="A148" s="33" t="s">
        <v>1837</v>
      </c>
      <c r="B148" s="8"/>
      <c r="C148" s="8"/>
      <c r="D148" s="33" t="s">
        <v>1838</v>
      </c>
      <c r="E148" s="8" t="s">
        <v>1827</v>
      </c>
      <c r="F148" s="8" t="s">
        <v>1828</v>
      </c>
      <c r="G148" s="8"/>
      <c r="H148" s="8" t="s">
        <v>204</v>
      </c>
      <c r="I148" s="8" t="s">
        <v>1376</v>
      </c>
      <c r="J148" s="8"/>
      <c r="K148" s="8" t="s">
        <v>1612</v>
      </c>
    </row>
    <row r="149" spans="1:11">
      <c r="A149" s="33" t="s">
        <v>1839</v>
      </c>
      <c r="B149" s="8"/>
      <c r="C149" s="8"/>
      <c r="D149" s="33" t="s">
        <v>1840</v>
      </c>
      <c r="E149" s="8" t="s">
        <v>1827</v>
      </c>
      <c r="F149" s="8" t="s">
        <v>1828</v>
      </c>
      <c r="G149" s="8"/>
      <c r="H149" s="8" t="s">
        <v>204</v>
      </c>
      <c r="I149" s="8" t="s">
        <v>1376</v>
      </c>
      <c r="J149" s="8"/>
      <c r="K149" s="8" t="s">
        <v>1612</v>
      </c>
    </row>
    <row r="150" spans="1:11">
      <c r="A150" s="33" t="s">
        <v>1841</v>
      </c>
      <c r="B150" s="8"/>
      <c r="C150" s="8"/>
      <c r="D150" s="33" t="s">
        <v>1842</v>
      </c>
      <c r="E150" s="8" t="s">
        <v>1827</v>
      </c>
      <c r="F150" s="8" t="s">
        <v>1828</v>
      </c>
      <c r="G150" s="8"/>
      <c r="H150" s="8" t="s">
        <v>204</v>
      </c>
      <c r="I150" s="8" t="s">
        <v>1376</v>
      </c>
      <c r="J150" s="8"/>
      <c r="K150" s="34" t="s">
        <v>1843</v>
      </c>
    </row>
    <row r="151" spans="1:11">
      <c r="A151" s="33" t="s">
        <v>1844</v>
      </c>
      <c r="B151" s="8"/>
      <c r="C151" s="8"/>
      <c r="D151" s="33" t="s">
        <v>1845</v>
      </c>
      <c r="E151" s="8" t="s">
        <v>1846</v>
      </c>
      <c r="F151" s="8" t="s">
        <v>1847</v>
      </c>
      <c r="G151" s="17">
        <v>326072</v>
      </c>
      <c r="H151" s="8" t="s">
        <v>204</v>
      </c>
      <c r="I151" s="8" t="s">
        <v>1376</v>
      </c>
      <c r="J151" s="8"/>
      <c r="K151" s="8" t="s">
        <v>1848</v>
      </c>
    </row>
    <row r="152" spans="1:11">
      <c r="A152" s="33" t="s">
        <v>1849</v>
      </c>
      <c r="B152" s="8"/>
      <c r="C152" s="8"/>
      <c r="D152" s="33" t="s">
        <v>1850</v>
      </c>
      <c r="E152" s="8" t="s">
        <v>1846</v>
      </c>
      <c r="F152" s="8" t="s">
        <v>1847</v>
      </c>
      <c r="G152" s="17">
        <v>326061</v>
      </c>
      <c r="H152" s="8" t="s">
        <v>204</v>
      </c>
      <c r="I152" s="8" t="s">
        <v>1376</v>
      </c>
      <c r="J152" s="8"/>
      <c r="K152" s="8" t="s">
        <v>1848</v>
      </c>
    </row>
    <row r="153" spans="1:11">
      <c r="A153" s="33" t="s">
        <v>1851</v>
      </c>
      <c r="B153" s="8"/>
      <c r="C153" s="8"/>
      <c r="D153" s="33" t="s">
        <v>1852</v>
      </c>
      <c r="E153" s="8" t="s">
        <v>1853</v>
      </c>
      <c r="F153" s="8" t="s">
        <v>1854</v>
      </c>
      <c r="G153" s="17">
        <v>326068</v>
      </c>
      <c r="H153" s="8" t="s">
        <v>204</v>
      </c>
      <c r="I153" s="8" t="s">
        <v>1376</v>
      </c>
      <c r="J153" s="8"/>
      <c r="K153" s="34" t="s">
        <v>1855</v>
      </c>
    </row>
    <row r="154" spans="1:11">
      <c r="A154" s="33" t="s">
        <v>1856</v>
      </c>
      <c r="B154" s="8"/>
      <c r="C154" s="8"/>
      <c r="D154" s="33" t="s">
        <v>1857</v>
      </c>
      <c r="E154" s="8" t="s">
        <v>1853</v>
      </c>
      <c r="F154" s="8" t="s">
        <v>1854</v>
      </c>
      <c r="G154" s="17">
        <v>326075</v>
      </c>
      <c r="H154" s="8" t="s">
        <v>204</v>
      </c>
      <c r="I154" s="8" t="s">
        <v>1376</v>
      </c>
      <c r="J154" s="8"/>
      <c r="K154" s="34" t="s">
        <v>1858</v>
      </c>
    </row>
    <row r="155" spans="1:11">
      <c r="A155" s="33" t="s">
        <v>1859</v>
      </c>
      <c r="B155" s="8"/>
      <c r="C155" s="8"/>
      <c r="D155" s="33" t="s">
        <v>1860</v>
      </c>
      <c r="E155" s="8" t="s">
        <v>1853</v>
      </c>
      <c r="F155" s="8" t="s">
        <v>1854</v>
      </c>
      <c r="G155" s="17">
        <v>326071</v>
      </c>
      <c r="H155" s="8" t="s">
        <v>204</v>
      </c>
      <c r="I155" s="8" t="s">
        <v>1376</v>
      </c>
      <c r="J155" s="8"/>
      <c r="K155" s="34" t="s">
        <v>1861</v>
      </c>
    </row>
    <row r="156" spans="1:11">
      <c r="A156" s="33" t="s">
        <v>1862</v>
      </c>
      <c r="B156" s="8"/>
      <c r="C156" s="8"/>
      <c r="D156" s="33" t="s">
        <v>1863</v>
      </c>
      <c r="E156" s="8" t="s">
        <v>1864</v>
      </c>
      <c r="F156" s="8" t="s">
        <v>1865</v>
      </c>
      <c r="G156" s="8"/>
      <c r="H156" s="8" t="s">
        <v>204</v>
      </c>
      <c r="I156" s="8" t="s">
        <v>1376</v>
      </c>
      <c r="J156" s="8"/>
      <c r="K156" s="35" t="s">
        <v>1866</v>
      </c>
    </row>
    <row r="157" spans="1:11">
      <c r="A157" s="33" t="s">
        <v>1867</v>
      </c>
      <c r="B157" s="8"/>
      <c r="C157" s="8"/>
      <c r="D157" s="33" t="s">
        <v>1868</v>
      </c>
      <c r="E157" s="8" t="s">
        <v>1864</v>
      </c>
      <c r="F157" s="8" t="s">
        <v>1865</v>
      </c>
      <c r="G157" s="8"/>
      <c r="H157" s="8" t="s">
        <v>204</v>
      </c>
      <c r="I157" s="8" t="s">
        <v>1376</v>
      </c>
      <c r="J157" s="8"/>
      <c r="K157" s="35" t="s">
        <v>1866</v>
      </c>
    </row>
    <row r="158" spans="1:11">
      <c r="A158" s="33" t="s">
        <v>1869</v>
      </c>
      <c r="B158" s="8"/>
      <c r="C158" s="8"/>
      <c r="D158" s="33" t="s">
        <v>1870</v>
      </c>
      <c r="E158" s="8" t="s">
        <v>1871</v>
      </c>
      <c r="F158" s="8" t="s">
        <v>1872</v>
      </c>
      <c r="G158" s="8" t="s">
        <v>1873</v>
      </c>
      <c r="H158" s="8" t="s">
        <v>204</v>
      </c>
      <c r="I158" s="8" t="s">
        <v>1376</v>
      </c>
      <c r="J158" s="8"/>
      <c r="K158" s="38" t="s">
        <v>1874</v>
      </c>
    </row>
    <row r="159" spans="1:11">
      <c r="A159" s="33" t="s">
        <v>1875</v>
      </c>
      <c r="B159" s="8"/>
      <c r="C159" s="8"/>
      <c r="D159" s="33" t="s">
        <v>1876</v>
      </c>
      <c r="E159" s="8" t="s">
        <v>1871</v>
      </c>
      <c r="F159" s="8" t="s">
        <v>1872</v>
      </c>
      <c r="G159" s="8" t="s">
        <v>1877</v>
      </c>
      <c r="H159" s="8" t="s">
        <v>204</v>
      </c>
      <c r="I159" s="8" t="s">
        <v>1376</v>
      </c>
      <c r="J159" s="8"/>
      <c r="K159" s="38" t="s">
        <v>1874</v>
      </c>
    </row>
    <row r="160" spans="1:11">
      <c r="A160" s="33" t="s">
        <v>1878</v>
      </c>
      <c r="B160" s="8"/>
      <c r="C160" s="8"/>
      <c r="D160" s="33" t="s">
        <v>1879</v>
      </c>
      <c r="E160" s="8" t="s">
        <v>1871</v>
      </c>
      <c r="F160" s="8" t="s">
        <v>1872</v>
      </c>
      <c r="G160" s="8" t="s">
        <v>1880</v>
      </c>
      <c r="H160" s="8" t="s">
        <v>204</v>
      </c>
      <c r="I160" s="8" t="s">
        <v>1376</v>
      </c>
      <c r="J160" s="8"/>
      <c r="K160" s="38" t="s">
        <v>1874</v>
      </c>
    </row>
    <row r="161" spans="1:11">
      <c r="A161" s="33" t="s">
        <v>1881</v>
      </c>
      <c r="B161" s="8"/>
      <c r="C161" s="8"/>
      <c r="D161" s="33" t="s">
        <v>1882</v>
      </c>
      <c r="E161" s="8" t="s">
        <v>1871</v>
      </c>
      <c r="F161" s="8" t="s">
        <v>1872</v>
      </c>
      <c r="G161" s="8" t="s">
        <v>1883</v>
      </c>
      <c r="H161" s="8" t="s">
        <v>204</v>
      </c>
      <c r="I161" s="8" t="s">
        <v>1376</v>
      </c>
      <c r="J161" s="8"/>
      <c r="K161" s="38" t="s">
        <v>1874</v>
      </c>
    </row>
    <row r="162" spans="1:11">
      <c r="A162" s="8" t="s">
        <v>1884</v>
      </c>
      <c r="B162" s="8"/>
      <c r="C162" s="8"/>
      <c r="D162" s="8" t="s">
        <v>1885</v>
      </c>
      <c r="E162" s="8" t="s">
        <v>1884</v>
      </c>
      <c r="F162" s="8" t="s">
        <v>1886</v>
      </c>
      <c r="G162" s="35" t="s">
        <v>1887</v>
      </c>
      <c r="H162" s="8" t="s">
        <v>204</v>
      </c>
      <c r="I162" s="8" t="s">
        <v>1376</v>
      </c>
      <c r="J162" s="8"/>
      <c r="K162" s="32" t="s">
        <v>1888</v>
      </c>
    </row>
    <row r="163" spans="1:11">
      <c r="A163" s="33" t="s">
        <v>1889</v>
      </c>
      <c r="B163" s="8"/>
      <c r="C163" s="8"/>
      <c r="D163" s="33" t="s">
        <v>1890</v>
      </c>
      <c r="E163" s="8" t="s">
        <v>1891</v>
      </c>
      <c r="F163" s="8" t="s">
        <v>1892</v>
      </c>
      <c r="G163" s="17">
        <v>26745</v>
      </c>
      <c r="H163" s="8" t="s">
        <v>204</v>
      </c>
      <c r="I163" s="8" t="s">
        <v>1376</v>
      </c>
      <c r="J163" s="8"/>
      <c r="K163" s="34" t="s">
        <v>1893</v>
      </c>
    </row>
    <row r="164" spans="1:11">
      <c r="A164" s="33" t="s">
        <v>1894</v>
      </c>
      <c r="B164" s="8"/>
      <c r="C164" s="8"/>
      <c r="D164" s="33" t="s">
        <v>1895</v>
      </c>
      <c r="E164" s="8" t="s">
        <v>1891</v>
      </c>
      <c r="F164" s="8" t="s">
        <v>1892</v>
      </c>
      <c r="G164" s="17">
        <v>26032</v>
      </c>
      <c r="H164" s="8" t="s">
        <v>204</v>
      </c>
      <c r="I164" s="8" t="s">
        <v>1376</v>
      </c>
      <c r="J164" s="8"/>
      <c r="K164" s="34" t="s">
        <v>1896</v>
      </c>
    </row>
    <row r="165" spans="1:11">
      <c r="A165" s="33" t="s">
        <v>1897</v>
      </c>
      <c r="B165" s="8"/>
      <c r="C165" s="8"/>
      <c r="D165" s="33" t="s">
        <v>1898</v>
      </c>
      <c r="E165" s="8" t="s">
        <v>1891</v>
      </c>
      <c r="F165" s="8" t="s">
        <v>1892</v>
      </c>
      <c r="G165" s="17">
        <v>16292</v>
      </c>
      <c r="H165" s="8" t="s">
        <v>204</v>
      </c>
      <c r="I165" s="8" t="s">
        <v>1376</v>
      </c>
      <c r="J165" s="8"/>
      <c r="K165" s="34" t="s">
        <v>1899</v>
      </c>
    </row>
    <row r="166" spans="1:11">
      <c r="A166" s="33" t="s">
        <v>1900</v>
      </c>
      <c r="B166" s="8"/>
      <c r="C166" s="8"/>
      <c r="D166" s="33" t="s">
        <v>1901</v>
      </c>
      <c r="E166" s="8" t="s">
        <v>1891</v>
      </c>
      <c r="F166" s="8" t="s">
        <v>1892</v>
      </c>
      <c r="G166" s="17">
        <v>16290</v>
      </c>
      <c r="H166" s="8" t="s">
        <v>204</v>
      </c>
      <c r="I166" s="8" t="s">
        <v>1376</v>
      </c>
      <c r="J166" s="8"/>
      <c r="K166" s="34" t="s">
        <v>1902</v>
      </c>
    </row>
    <row r="167" spans="1:11">
      <c r="A167" s="8" t="s">
        <v>1903</v>
      </c>
      <c r="B167" s="8"/>
      <c r="C167" s="8"/>
      <c r="D167" s="8" t="s">
        <v>1904</v>
      </c>
      <c r="E167" s="8" t="s">
        <v>1903</v>
      </c>
      <c r="F167" s="8" t="s">
        <v>1905</v>
      </c>
      <c r="G167" s="8"/>
      <c r="H167" s="8" t="s">
        <v>1906</v>
      </c>
      <c r="I167" s="8" t="s">
        <v>1376</v>
      </c>
      <c r="J167" s="8"/>
      <c r="K167" s="8" t="s">
        <v>1612</v>
      </c>
    </row>
    <row r="168" spans="1:11">
      <c r="A168" s="8" t="s">
        <v>1907</v>
      </c>
      <c r="B168" s="8"/>
      <c r="C168" s="8"/>
      <c r="D168" s="8" t="s">
        <v>1908</v>
      </c>
      <c r="E168" s="8" t="s">
        <v>1907</v>
      </c>
      <c r="F168" s="8" t="s">
        <v>1909</v>
      </c>
      <c r="G168" s="17" t="s">
        <v>1910</v>
      </c>
      <c r="H168" s="8" t="s">
        <v>1533</v>
      </c>
      <c r="I168" s="8" t="s">
        <v>1376</v>
      </c>
      <c r="J168" s="8"/>
      <c r="K168" s="32" t="s">
        <v>1911</v>
      </c>
    </row>
    <row r="169" spans="1:11">
      <c r="A169" s="8" t="s">
        <v>1912</v>
      </c>
      <c r="B169" s="8"/>
      <c r="C169" s="8"/>
      <c r="D169" s="8" t="s">
        <v>1913</v>
      </c>
      <c r="E169" s="8" t="s">
        <v>1912</v>
      </c>
      <c r="F169" s="8" t="s">
        <v>1914</v>
      </c>
      <c r="G169" s="8" t="s">
        <v>1915</v>
      </c>
      <c r="H169" s="8" t="s">
        <v>1533</v>
      </c>
      <c r="I169" s="8" t="s">
        <v>1376</v>
      </c>
      <c r="J169" s="8"/>
      <c r="K169" s="34" t="s">
        <v>1916</v>
      </c>
    </row>
    <row r="170" spans="1:11">
      <c r="A170" s="8" t="s">
        <v>1917</v>
      </c>
      <c r="B170" s="8"/>
      <c r="C170" s="8"/>
      <c r="D170" s="8" t="s">
        <v>1918</v>
      </c>
      <c r="E170" s="8" t="s">
        <v>1917</v>
      </c>
      <c r="F170" s="8" t="s">
        <v>1919</v>
      </c>
      <c r="G170" s="8"/>
      <c r="H170" s="8" t="s">
        <v>1533</v>
      </c>
      <c r="I170" s="8" t="s">
        <v>1376</v>
      </c>
      <c r="J170" s="8"/>
      <c r="K170" s="34" t="s">
        <v>1920</v>
      </c>
    </row>
    <row r="171" spans="1:11">
      <c r="A171" s="8" t="s">
        <v>1921</v>
      </c>
      <c r="B171" s="8"/>
      <c r="C171" s="8"/>
      <c r="D171" s="9" t="s">
        <v>1922</v>
      </c>
      <c r="E171" s="8" t="s">
        <v>1921</v>
      </c>
      <c r="F171" s="8" t="s">
        <v>1923</v>
      </c>
      <c r="G171" s="17" t="s">
        <v>1924</v>
      </c>
      <c r="H171" s="8" t="s">
        <v>1533</v>
      </c>
      <c r="I171" s="8" t="s">
        <v>1376</v>
      </c>
      <c r="J171" s="8"/>
      <c r="K171" s="32" t="s">
        <v>1911</v>
      </c>
    </row>
    <row r="172" spans="1:11">
      <c r="A172" s="8" t="s">
        <v>1925</v>
      </c>
      <c r="B172" s="8"/>
      <c r="C172" s="8"/>
      <c r="D172" s="9" t="s">
        <v>1926</v>
      </c>
      <c r="E172" s="8" t="s">
        <v>1925</v>
      </c>
      <c r="F172" s="8" t="s">
        <v>1927</v>
      </c>
      <c r="G172" s="17" t="s">
        <v>1928</v>
      </c>
      <c r="H172" s="8" t="s">
        <v>1533</v>
      </c>
      <c r="I172" s="8" t="s">
        <v>1376</v>
      </c>
      <c r="J172" s="8"/>
      <c r="K172" s="32" t="s">
        <v>1911</v>
      </c>
    </row>
    <row r="173" spans="1:11">
      <c r="A173" s="8" t="s">
        <v>1929</v>
      </c>
      <c r="B173" s="8"/>
      <c r="C173" s="8"/>
      <c r="D173" s="9" t="s">
        <v>1930</v>
      </c>
      <c r="E173" s="8" t="s">
        <v>1929</v>
      </c>
      <c r="F173" s="8" t="s">
        <v>1931</v>
      </c>
      <c r="G173" s="8"/>
      <c r="H173" s="8" t="s">
        <v>1533</v>
      </c>
      <c r="I173" s="8" t="s">
        <v>1376</v>
      </c>
      <c r="J173" s="8"/>
      <c r="K173" s="34" t="s">
        <v>1932</v>
      </c>
    </row>
    <row r="174" spans="1:11">
      <c r="A174" s="8" t="s">
        <v>1933</v>
      </c>
      <c r="B174" s="8"/>
      <c r="C174" s="8"/>
      <c r="D174" s="9" t="s">
        <v>1934</v>
      </c>
      <c r="E174" s="8" t="s">
        <v>1933</v>
      </c>
      <c r="F174" s="8" t="s">
        <v>1935</v>
      </c>
      <c r="G174" s="8"/>
      <c r="H174" s="8" t="s">
        <v>1533</v>
      </c>
      <c r="I174" s="8" t="s">
        <v>1376</v>
      </c>
      <c r="J174" s="8"/>
      <c r="K174" s="34" t="s">
        <v>1936</v>
      </c>
    </row>
    <row r="175" spans="1:11">
      <c r="A175" s="8" t="s">
        <v>1937</v>
      </c>
      <c r="B175" s="8"/>
      <c r="C175" s="8"/>
      <c r="D175" s="9" t="s">
        <v>1938</v>
      </c>
      <c r="E175" s="8" t="s">
        <v>1937</v>
      </c>
      <c r="F175" s="8" t="s">
        <v>1939</v>
      </c>
      <c r="G175" s="8"/>
      <c r="H175" s="8" t="s">
        <v>1533</v>
      </c>
      <c r="I175" s="8" t="s">
        <v>1376</v>
      </c>
      <c r="J175" s="8"/>
      <c r="K175" s="34" t="s">
        <v>1940</v>
      </c>
    </row>
    <row r="176" spans="1:11">
      <c r="A176" s="8" t="s">
        <v>1941</v>
      </c>
      <c r="B176" s="8"/>
      <c r="C176" s="8"/>
      <c r="D176" s="9" t="s">
        <v>1942</v>
      </c>
      <c r="E176" s="8" t="s">
        <v>1941</v>
      </c>
      <c r="F176" s="8" t="s">
        <v>1943</v>
      </c>
      <c r="G176" s="8"/>
      <c r="H176" s="8" t="s">
        <v>1533</v>
      </c>
      <c r="I176" s="8" t="s">
        <v>1376</v>
      </c>
      <c r="J176" s="8"/>
      <c r="K176" s="39" t="s">
        <v>1944</v>
      </c>
    </row>
    <row r="177" spans="1:11">
      <c r="A177" s="8" t="s">
        <v>1945</v>
      </c>
      <c r="B177" s="8"/>
      <c r="C177" s="8"/>
      <c r="D177" s="9" t="s">
        <v>1946</v>
      </c>
      <c r="E177" s="8" t="s">
        <v>1945</v>
      </c>
      <c r="F177" s="8" t="s">
        <v>1947</v>
      </c>
      <c r="G177" s="8"/>
      <c r="H177" s="8" t="s">
        <v>1533</v>
      </c>
      <c r="I177" s="8" t="s">
        <v>1376</v>
      </c>
      <c r="J177" s="8"/>
      <c r="K177" s="34" t="s">
        <v>1948</v>
      </c>
    </row>
    <row r="178" spans="1:11">
      <c r="A178" s="8" t="s">
        <v>1949</v>
      </c>
      <c r="B178" s="8"/>
      <c r="C178" s="8"/>
      <c r="D178" s="9" t="s">
        <v>1950</v>
      </c>
      <c r="E178" s="8" t="s">
        <v>1949</v>
      </c>
      <c r="F178" s="8" t="s">
        <v>1951</v>
      </c>
      <c r="G178" s="8"/>
      <c r="H178" s="8" t="s">
        <v>1533</v>
      </c>
      <c r="I178" s="8" t="s">
        <v>1376</v>
      </c>
      <c r="J178" s="8"/>
      <c r="K178" s="34" t="s">
        <v>1952</v>
      </c>
    </row>
    <row r="179" spans="1:11">
      <c r="A179" s="8" t="s">
        <v>1953</v>
      </c>
      <c r="B179" s="8"/>
      <c r="C179" s="8"/>
      <c r="D179" s="9" t="s">
        <v>1954</v>
      </c>
      <c r="E179" s="8" t="s">
        <v>1953</v>
      </c>
      <c r="F179" s="8" t="s">
        <v>1955</v>
      </c>
      <c r="G179" s="8"/>
      <c r="H179" s="8" t="s">
        <v>1533</v>
      </c>
      <c r="I179" s="8" t="s">
        <v>1376</v>
      </c>
      <c r="J179" s="8"/>
      <c r="K179" s="34" t="s">
        <v>1956</v>
      </c>
    </row>
    <row r="180" spans="1:11">
      <c r="A180" s="8" t="s">
        <v>1957</v>
      </c>
      <c r="B180" s="8"/>
      <c r="C180" s="8"/>
      <c r="D180" s="9" t="s">
        <v>1958</v>
      </c>
      <c r="E180" s="8" t="s">
        <v>1957</v>
      </c>
      <c r="F180" s="8" t="s">
        <v>1959</v>
      </c>
      <c r="G180" s="8"/>
      <c r="H180" s="8" t="s">
        <v>1533</v>
      </c>
      <c r="I180" s="8" t="s">
        <v>1376</v>
      </c>
      <c r="J180" s="8"/>
      <c r="K180" s="34" t="s">
        <v>1960</v>
      </c>
    </row>
    <row r="181" spans="1:11">
      <c r="A181" s="8" t="s">
        <v>1961</v>
      </c>
      <c r="B181" s="8"/>
      <c r="C181" s="8"/>
      <c r="D181" s="9" t="s">
        <v>1962</v>
      </c>
      <c r="E181" s="8" t="s">
        <v>1961</v>
      </c>
      <c r="F181" s="8" t="s">
        <v>1963</v>
      </c>
      <c r="G181" s="8"/>
      <c r="H181" s="8" t="s">
        <v>1533</v>
      </c>
      <c r="I181" s="8" t="s">
        <v>1376</v>
      </c>
      <c r="J181" s="8"/>
      <c r="K181" s="34" t="s">
        <v>1964</v>
      </c>
    </row>
    <row r="182" spans="1:11">
      <c r="A182" s="8" t="s">
        <v>1965</v>
      </c>
      <c r="B182" s="8"/>
      <c r="C182" s="8"/>
      <c r="D182" s="9" t="s">
        <v>1966</v>
      </c>
      <c r="E182" s="8" t="s">
        <v>1965</v>
      </c>
      <c r="F182" s="8" t="s">
        <v>1967</v>
      </c>
      <c r="G182" s="8"/>
      <c r="H182" s="8" t="s">
        <v>1533</v>
      </c>
      <c r="I182" s="8" t="s">
        <v>1376</v>
      </c>
      <c r="J182" s="8"/>
      <c r="K182" s="8" t="s">
        <v>1968</v>
      </c>
    </row>
  </sheetData>
  <hyperlinks>
    <hyperlink ref="K44" r:id="rId1" xr:uid="{00000000-0004-0000-0100-000000000000}"/>
    <hyperlink ref="K54" r:id="rId2" xr:uid="{00000000-0004-0000-0100-000001000000}"/>
    <hyperlink ref="K55" r:id="rId3" xr:uid="{00000000-0004-0000-0100-000002000000}"/>
    <hyperlink ref="K56" r:id="rId4" xr:uid="{00000000-0004-0000-0100-000003000000}"/>
    <hyperlink ref="K57" r:id="rId5" xr:uid="{00000000-0004-0000-0100-000004000000}"/>
    <hyperlink ref="K86" r:id="rId6" xr:uid="{00000000-0004-0000-0100-000006000000}"/>
    <hyperlink ref="K87" r:id="rId7" xr:uid="{00000000-0004-0000-0100-000007000000}"/>
    <hyperlink ref="K89" r:id="rId8" xr:uid="{00000000-0004-0000-0100-000008000000}"/>
    <hyperlink ref="K90" r:id="rId9" xr:uid="{00000000-0004-0000-0100-000009000000}"/>
    <hyperlink ref="K91" r:id="rId10" xr:uid="{00000000-0004-0000-0100-00000A000000}"/>
    <hyperlink ref="K92" r:id="rId11" xr:uid="{00000000-0004-0000-0100-00000B000000}"/>
    <hyperlink ref="K112" r:id="rId12" xr:uid="{00000000-0004-0000-0100-00000C000000}"/>
    <hyperlink ref="K113" r:id="rId13" xr:uid="{00000000-0004-0000-0100-00000D000000}"/>
    <hyperlink ref="K114" r:id="rId14" xr:uid="{00000000-0004-0000-0100-00000E000000}"/>
    <hyperlink ref="K115" r:id="rId15" xr:uid="{00000000-0004-0000-0100-00000F000000}"/>
    <hyperlink ref="K116" r:id="rId16" xr:uid="{00000000-0004-0000-0100-000010000000}"/>
    <hyperlink ref="K117" r:id="rId17" xr:uid="{00000000-0004-0000-0100-000011000000}"/>
    <hyperlink ref="K119" r:id="rId18" xr:uid="{00000000-0004-0000-0100-000012000000}"/>
    <hyperlink ref="K120" r:id="rId19" xr:uid="{00000000-0004-0000-0100-000013000000}"/>
    <hyperlink ref="K121" r:id="rId20" xr:uid="{00000000-0004-0000-0100-000014000000}"/>
    <hyperlink ref="K122" r:id="rId21" xr:uid="{00000000-0004-0000-0100-000015000000}"/>
    <hyperlink ref="K123" r:id="rId22" xr:uid="{00000000-0004-0000-0100-000016000000}"/>
    <hyperlink ref="K124" r:id="rId23" xr:uid="{00000000-0004-0000-0100-000017000000}"/>
    <hyperlink ref="K125" r:id="rId24" xr:uid="{00000000-0004-0000-0100-000018000000}"/>
    <hyperlink ref="K126" r:id="rId25" xr:uid="{00000000-0004-0000-0100-000019000000}"/>
    <hyperlink ref="K127" r:id="rId26" xr:uid="{00000000-0004-0000-0100-00001A000000}"/>
    <hyperlink ref="K128" r:id="rId27" xr:uid="{00000000-0004-0000-0100-00001B000000}"/>
    <hyperlink ref="K131" r:id="rId28" xr:uid="{00000000-0004-0000-0100-00001C000000}"/>
    <hyperlink ref="K132" r:id="rId29" xr:uid="{00000000-0004-0000-0100-00001D000000}"/>
    <hyperlink ref="K133" r:id="rId30" xr:uid="{00000000-0004-0000-0100-00001E000000}"/>
    <hyperlink ref="K134" r:id="rId31" xr:uid="{00000000-0004-0000-0100-00001F000000}"/>
    <hyperlink ref="K136" r:id="rId32" xr:uid="{00000000-0004-0000-0100-000020000000}"/>
    <hyperlink ref="K137" r:id="rId33" xr:uid="{00000000-0004-0000-0100-000021000000}"/>
    <hyperlink ref="K138" r:id="rId34" xr:uid="{00000000-0004-0000-0100-000022000000}"/>
    <hyperlink ref="K139" r:id="rId35" xr:uid="{00000000-0004-0000-0100-000023000000}"/>
    <hyperlink ref="K140" r:id="rId36" xr:uid="{00000000-0004-0000-0100-000024000000}"/>
    <hyperlink ref="K141" r:id="rId37" xr:uid="{00000000-0004-0000-0100-000025000000}"/>
    <hyperlink ref="K142" r:id="rId38" xr:uid="{00000000-0004-0000-0100-000026000000}"/>
    <hyperlink ref="K143" r:id="rId39" xr:uid="{00000000-0004-0000-0100-000027000000}"/>
    <hyperlink ref="K144" r:id="rId40" xr:uid="{00000000-0004-0000-0100-000028000000}"/>
    <hyperlink ref="K145" r:id="rId41" xr:uid="{00000000-0004-0000-0100-000029000000}"/>
    <hyperlink ref="K146" r:id="rId42" xr:uid="{00000000-0004-0000-0100-00002A000000}"/>
    <hyperlink ref="K150" r:id="rId43" xr:uid="{00000000-0004-0000-0100-00002B000000}"/>
    <hyperlink ref="K153" r:id="rId44" xr:uid="{00000000-0004-0000-0100-00002C000000}"/>
    <hyperlink ref="K154" r:id="rId45" xr:uid="{00000000-0004-0000-0100-00002D000000}"/>
    <hyperlink ref="K155" r:id="rId46" xr:uid="{00000000-0004-0000-0100-00002E000000}"/>
    <hyperlink ref="K163" r:id="rId47" xr:uid="{00000000-0004-0000-0100-00002F000000}"/>
    <hyperlink ref="K164" r:id="rId48" xr:uid="{00000000-0004-0000-0100-000030000000}"/>
    <hyperlink ref="K165" r:id="rId49" xr:uid="{00000000-0004-0000-0100-000031000000}"/>
    <hyperlink ref="K166" r:id="rId50" xr:uid="{00000000-0004-0000-0100-000032000000}"/>
    <hyperlink ref="K169" r:id="rId51" xr:uid="{00000000-0004-0000-0100-000033000000}"/>
    <hyperlink ref="K170" r:id="rId52" xr:uid="{00000000-0004-0000-0100-000034000000}"/>
    <hyperlink ref="D171" r:id="rId53" xr:uid="{00000000-0004-0000-0100-000035000000}"/>
    <hyperlink ref="D172" r:id="rId54" xr:uid="{00000000-0004-0000-0100-000036000000}"/>
    <hyperlink ref="D173" r:id="rId55" xr:uid="{00000000-0004-0000-0100-000037000000}"/>
    <hyperlink ref="K173" r:id="rId56" xr:uid="{00000000-0004-0000-0100-000038000000}"/>
    <hyperlink ref="D174" r:id="rId57" xr:uid="{00000000-0004-0000-0100-000039000000}"/>
    <hyperlink ref="K174" r:id="rId58" xr:uid="{00000000-0004-0000-0100-00003A000000}"/>
    <hyperlink ref="D175" r:id="rId59" xr:uid="{00000000-0004-0000-0100-00003B000000}"/>
    <hyperlink ref="K175" r:id="rId60" xr:uid="{00000000-0004-0000-0100-00003C000000}"/>
    <hyperlink ref="D176" r:id="rId61" xr:uid="{00000000-0004-0000-0100-00003D000000}"/>
    <hyperlink ref="K176" r:id="rId62" xr:uid="{00000000-0004-0000-0100-00003E000000}"/>
    <hyperlink ref="D177" r:id="rId63" xr:uid="{00000000-0004-0000-0100-00003F000000}"/>
    <hyperlink ref="K177" r:id="rId64" xr:uid="{00000000-0004-0000-0100-000040000000}"/>
    <hyperlink ref="D178" r:id="rId65" xr:uid="{00000000-0004-0000-0100-000041000000}"/>
    <hyperlink ref="K178" r:id="rId66" xr:uid="{00000000-0004-0000-0100-000042000000}"/>
    <hyperlink ref="D179" r:id="rId67" xr:uid="{00000000-0004-0000-0100-000043000000}"/>
    <hyperlink ref="K179" r:id="rId68" xr:uid="{00000000-0004-0000-0100-000044000000}"/>
    <hyperlink ref="D180" r:id="rId69" xr:uid="{00000000-0004-0000-0100-000045000000}"/>
    <hyperlink ref="K180" r:id="rId70" xr:uid="{00000000-0004-0000-0100-000046000000}"/>
    <hyperlink ref="D181" r:id="rId71" xr:uid="{00000000-0004-0000-0100-000047000000}"/>
    <hyperlink ref="K181" r:id="rId72" xr:uid="{00000000-0004-0000-0100-000048000000}"/>
    <hyperlink ref="D182" r:id="rId73" xr:uid="{00000000-0004-0000-0100-00004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C6F1-F044-F645-9CB9-D3994D17AB94}">
  <dimension ref="A1:B37"/>
  <sheetViews>
    <sheetView workbookViewId="0">
      <selection activeCell="A14" sqref="A14"/>
    </sheetView>
  </sheetViews>
  <sheetFormatPr baseColWidth="10" defaultRowHeight="13"/>
  <cols>
    <col min="1" max="1" width="53.83203125" customWidth="1"/>
    <col min="2" max="2" width="38.33203125" customWidth="1"/>
  </cols>
  <sheetData>
    <row r="1" spans="1:2" ht="16">
      <c r="A1" s="43" t="s">
        <v>3704</v>
      </c>
      <c r="B1" s="44"/>
    </row>
    <row r="2" spans="1:2" ht="16">
      <c r="A2" s="43"/>
      <c r="B2" s="44"/>
    </row>
    <row r="3" spans="1:2" ht="16">
      <c r="A3" s="43" t="s">
        <v>3</v>
      </c>
      <c r="B3" s="43" t="s">
        <v>3703</v>
      </c>
    </row>
    <row r="4" spans="1:2" ht="16">
      <c r="A4" s="44" t="s">
        <v>1168</v>
      </c>
      <c r="B4" s="44" t="s">
        <v>1169</v>
      </c>
    </row>
    <row r="5" spans="1:2" ht="16">
      <c r="A5" s="44" t="s">
        <v>211</v>
      </c>
      <c r="B5" s="44" t="s">
        <v>201</v>
      </c>
    </row>
    <row r="6" spans="1:2" ht="16">
      <c r="A6" s="44" t="s">
        <v>952</v>
      </c>
      <c r="B6" s="44" t="s">
        <v>945</v>
      </c>
    </row>
    <row r="7" spans="1:2" ht="16">
      <c r="A7" s="44" t="s">
        <v>964</v>
      </c>
      <c r="B7" s="44" t="s">
        <v>965</v>
      </c>
    </row>
    <row r="8" spans="1:2" ht="16">
      <c r="A8" s="44" t="s">
        <v>68</v>
      </c>
      <c r="B8" s="44" t="s">
        <v>69</v>
      </c>
    </row>
    <row r="9" spans="1:2" ht="16">
      <c r="A9" s="44" t="s">
        <v>251</v>
      </c>
      <c r="B9" s="44" t="s">
        <v>252</v>
      </c>
    </row>
    <row r="10" spans="1:2" ht="16">
      <c r="A10" s="44" t="s">
        <v>1161</v>
      </c>
      <c r="B10" s="44" t="s">
        <v>1162</v>
      </c>
    </row>
    <row r="11" spans="1:2" ht="16">
      <c r="A11" s="44" t="s">
        <v>374</v>
      </c>
      <c r="B11" s="44" t="s">
        <v>375</v>
      </c>
    </row>
    <row r="12" spans="1:2" ht="16">
      <c r="A12" s="42" t="s">
        <v>169</v>
      </c>
      <c r="B12" s="44" t="s">
        <v>170</v>
      </c>
    </row>
    <row r="13" spans="1:2" ht="16">
      <c r="A13" s="44" t="s">
        <v>3663</v>
      </c>
      <c r="B13" s="44" t="s">
        <v>1008</v>
      </c>
    </row>
    <row r="14" spans="1:2" ht="16">
      <c r="A14" s="44" t="s">
        <v>109</v>
      </c>
      <c r="B14" s="44" t="s">
        <v>110</v>
      </c>
    </row>
    <row r="15" spans="1:2" ht="16">
      <c r="A15" s="44" t="s">
        <v>1020</v>
      </c>
      <c r="B15" s="44" t="s">
        <v>1021</v>
      </c>
    </row>
    <row r="16" spans="1:2" ht="16">
      <c r="A16" s="44" t="s">
        <v>385</v>
      </c>
      <c r="B16" s="44" t="s">
        <v>386</v>
      </c>
    </row>
    <row r="17" spans="1:2" ht="16">
      <c r="A17" s="44" t="s">
        <v>982</v>
      </c>
      <c r="B17" s="44" t="s">
        <v>983</v>
      </c>
    </row>
    <row r="18" spans="1:2" ht="16">
      <c r="A18" s="44" t="s">
        <v>627</v>
      </c>
      <c r="B18" s="44" t="s">
        <v>628</v>
      </c>
    </row>
    <row r="19" spans="1:2" ht="16">
      <c r="A19" s="44" t="s">
        <v>887</v>
      </c>
      <c r="B19" s="44" t="s">
        <v>888</v>
      </c>
    </row>
    <row r="20" spans="1:2" ht="16">
      <c r="A20" s="44" t="s">
        <v>516</v>
      </c>
      <c r="B20" s="44" t="s">
        <v>517</v>
      </c>
    </row>
    <row r="21" spans="1:2" ht="16">
      <c r="A21" s="44" t="s">
        <v>122</v>
      </c>
      <c r="B21" s="44" t="s">
        <v>123</v>
      </c>
    </row>
    <row r="22" spans="1:2" ht="16">
      <c r="A22" s="44" t="s">
        <v>1033</v>
      </c>
      <c r="B22" s="44" t="s">
        <v>1034</v>
      </c>
    </row>
    <row r="23" spans="1:2" ht="16">
      <c r="A23" s="44" t="s">
        <v>1342</v>
      </c>
      <c r="B23" s="44" t="s">
        <v>1343</v>
      </c>
    </row>
    <row r="24" spans="1:2" ht="16">
      <c r="A24" s="44" t="s">
        <v>957</v>
      </c>
      <c r="B24" s="44" t="s">
        <v>958</v>
      </c>
    </row>
    <row r="25" spans="1:2" ht="16">
      <c r="A25" s="44" t="s">
        <v>2167</v>
      </c>
      <c r="B25" s="44" t="s">
        <v>2168</v>
      </c>
    </row>
    <row r="26" spans="1:2" ht="16">
      <c r="A26" s="44" t="s">
        <v>1112</v>
      </c>
      <c r="B26" s="44" t="s">
        <v>1113</v>
      </c>
    </row>
    <row r="27" spans="1:2" ht="16">
      <c r="A27" s="44" t="s">
        <v>3122</v>
      </c>
      <c r="B27" s="44" t="s">
        <v>3123</v>
      </c>
    </row>
    <row r="28" spans="1:2" ht="16">
      <c r="A28" s="44" t="s">
        <v>1300</v>
      </c>
      <c r="B28" s="44" t="s">
        <v>1301</v>
      </c>
    </row>
    <row r="29" spans="1:2" ht="16">
      <c r="A29" s="44" t="s">
        <v>1083</v>
      </c>
      <c r="B29" s="44" t="s">
        <v>1084</v>
      </c>
    </row>
    <row r="30" spans="1:2" ht="16">
      <c r="A30" s="44" t="s">
        <v>1280</v>
      </c>
      <c r="B30" s="44" t="s">
        <v>1281</v>
      </c>
    </row>
    <row r="31" spans="1:2" ht="16">
      <c r="A31" s="44" t="s">
        <v>929</v>
      </c>
      <c r="B31" s="44" t="s">
        <v>930</v>
      </c>
    </row>
    <row r="32" spans="1:2" ht="16">
      <c r="A32" s="44" t="s">
        <v>84</v>
      </c>
      <c r="B32" s="44" t="s">
        <v>85</v>
      </c>
    </row>
    <row r="33" spans="1:2" ht="16">
      <c r="A33" s="44" t="s">
        <v>405</v>
      </c>
      <c r="B33" s="44" t="s">
        <v>406</v>
      </c>
    </row>
    <row r="34" spans="1:2" ht="16">
      <c r="A34" s="44" t="s">
        <v>432</v>
      </c>
      <c r="B34" s="44" t="s">
        <v>433</v>
      </c>
    </row>
    <row r="35" spans="1:2" ht="16">
      <c r="A35" s="44" t="s">
        <v>1349</v>
      </c>
      <c r="B35" s="44" t="s">
        <v>1350</v>
      </c>
    </row>
    <row r="36" spans="1:2" ht="16">
      <c r="A36" s="44" t="s">
        <v>502</v>
      </c>
      <c r="B36" s="44" t="s">
        <v>495</v>
      </c>
    </row>
    <row r="37" spans="1:2" ht="16">
      <c r="A37" s="44" t="s">
        <v>857</v>
      </c>
      <c r="B37" s="44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AssemblyMetadata</vt:lpstr>
      <vt:lpstr>AssembliesFilteredOut</vt:lpstr>
      <vt:lpstr>External_Assembly_Sources</vt:lpstr>
      <vt:lpstr>SRA_accession_sources</vt:lpstr>
      <vt:lpstr>RepresentativeAssemblies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Elad Oren</cp:lastModifiedBy>
  <dcterms:modified xsi:type="dcterms:W3CDTF">2026-02-11T12:06:06Z</dcterms:modified>
</cp:coreProperties>
</file>